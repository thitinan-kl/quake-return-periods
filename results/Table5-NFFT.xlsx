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_edd\Desktop\Paper Earthquake\Projectv3-combine-all\result\"/>
    </mc:Choice>
  </mc:AlternateContent>
  <xr:revisionPtr revIDLastSave="0" documentId="13_ncr:1_{855A762D-55E0-4E5F-B531-F8DD55A05E8A}" xr6:coauthVersionLast="47" xr6:coauthVersionMax="47" xr10:uidLastSave="{00000000-0000-0000-0000-000000000000}"/>
  <bookViews>
    <workbookView xWindow="-110" yWindow="-110" windowWidth="19420" windowHeight="12220" xr2:uid="{968A9C51-55EF-4642-A43E-730CC2993D21}"/>
  </bookViews>
  <sheets>
    <sheet name="results_v1" sheetId="1" r:id="rId1"/>
    <sheet name="NFFT_M4" sheetId="3" r:id="rId2"/>
    <sheet name="NFFT_M5" sheetId="4" r:id="rId3"/>
    <sheet name="NFFT_M6" sheetId="5" r:id="rId4"/>
    <sheet name="NFFT_M7" sheetId="6" r:id="rId5"/>
    <sheet name="NFFT_M8" sheetId="7" r:id="rId6"/>
  </sheets>
  <definedNames>
    <definedName name="ExternalData_1" localSheetId="1" hidden="1">NFFT_M4!$B$1:$K$69</definedName>
    <definedName name="ExternalData_1" localSheetId="2" hidden="1">NFFT_M5!$B$1:$K$69</definedName>
    <definedName name="ExternalData_1" localSheetId="4" hidden="1">NFFT_M7!$B$1:$K$47</definedName>
    <definedName name="ExternalData_1" localSheetId="5" hidden="1">NFFT_M8!$B$1:$K$41</definedName>
    <definedName name="ExternalData_2" localSheetId="3" hidden="1">NFFT_M6!$B$1:$K$62</definedName>
  </definedNames>
  <calcPr calcId="19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2" i="1"/>
  <c r="F2" i="1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2" i="7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2" i="6"/>
  <c r="E2" i="1"/>
  <c r="D3" i="1"/>
  <c r="D4" i="1"/>
  <c r="D5" i="1"/>
  <c r="D6" i="1"/>
  <c r="D7" i="1"/>
  <c r="C2" i="1"/>
  <c r="A3" i="5"/>
  <c r="E65" i="1" s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2" i="5"/>
  <c r="E33" i="1" s="1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D37" i="1" s="1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2" i="4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2" i="3"/>
  <c r="C3" i="1" s="1"/>
  <c r="F42" i="1" l="1"/>
  <c r="F65" i="1"/>
  <c r="F41" i="1"/>
  <c r="F24" i="1"/>
  <c r="F11" i="1"/>
  <c r="F26" i="1"/>
  <c r="F57" i="1"/>
  <c r="F53" i="1"/>
  <c r="F37" i="1"/>
  <c r="F21" i="1"/>
  <c r="F5" i="1"/>
  <c r="F68" i="1"/>
  <c r="F52" i="1"/>
  <c r="F36" i="1"/>
  <c r="F20" i="1"/>
  <c r="F4" i="1"/>
  <c r="F58" i="1"/>
  <c r="F40" i="1"/>
  <c r="F23" i="1"/>
  <c r="F54" i="1"/>
  <c r="F19" i="1"/>
  <c r="F18" i="1"/>
  <c r="F17" i="1"/>
  <c r="F48" i="1"/>
  <c r="F32" i="1"/>
  <c r="F16" i="1"/>
  <c r="F63" i="1"/>
  <c r="F47" i="1"/>
  <c r="F31" i="1"/>
  <c r="F15" i="1"/>
  <c r="F25" i="1"/>
  <c r="F8" i="1"/>
  <c r="F39" i="1"/>
  <c r="F38" i="1"/>
  <c r="F51" i="1"/>
  <c r="F34" i="1"/>
  <c r="F49" i="1"/>
  <c r="F64" i="1"/>
  <c r="F46" i="1"/>
  <c r="F61" i="1"/>
  <c r="F45" i="1"/>
  <c r="F29" i="1"/>
  <c r="F13" i="1"/>
  <c r="F10" i="1"/>
  <c r="F9" i="1"/>
  <c r="F56" i="1"/>
  <c r="F7" i="1"/>
  <c r="F6" i="1"/>
  <c r="F69" i="1"/>
  <c r="F67" i="1"/>
  <c r="F3" i="1"/>
  <c r="F50" i="1"/>
  <c r="F33" i="1"/>
  <c r="F62" i="1"/>
  <c r="F14" i="1"/>
  <c r="F60" i="1"/>
  <c r="F44" i="1"/>
  <c r="F28" i="1"/>
  <c r="F12" i="1"/>
  <c r="F55" i="1"/>
  <c r="F22" i="1"/>
  <c r="F35" i="1"/>
  <c r="F66" i="1"/>
  <c r="F30" i="1"/>
  <c r="F59" i="1"/>
  <c r="F43" i="1"/>
  <c r="F27" i="1"/>
  <c r="E60" i="1"/>
  <c r="E59" i="1"/>
  <c r="E29" i="1"/>
  <c r="E8" i="1"/>
  <c r="E10" i="1"/>
  <c r="E49" i="1"/>
  <c r="E63" i="1"/>
  <c r="E18" i="1"/>
  <c r="E17" i="1"/>
  <c r="E12" i="1"/>
  <c r="E32" i="1"/>
  <c r="E16" i="1"/>
  <c r="E15" i="1"/>
  <c r="E61" i="1"/>
  <c r="E11" i="1"/>
  <c r="E42" i="1"/>
  <c r="E9" i="1"/>
  <c r="E55" i="1"/>
  <c r="E39" i="1"/>
  <c r="E23" i="1"/>
  <c r="E7" i="1"/>
  <c r="E31" i="1"/>
  <c r="E13" i="1"/>
  <c r="E44" i="1"/>
  <c r="E27" i="1"/>
  <c r="E58" i="1"/>
  <c r="E57" i="1"/>
  <c r="E24" i="1"/>
  <c r="E54" i="1"/>
  <c r="E38" i="1"/>
  <c r="E22" i="1"/>
  <c r="E6" i="1"/>
  <c r="E64" i="1"/>
  <c r="E47" i="1"/>
  <c r="E62" i="1"/>
  <c r="E28" i="1"/>
  <c r="E43" i="1"/>
  <c r="E40" i="1"/>
  <c r="E69" i="1"/>
  <c r="E53" i="1"/>
  <c r="E37" i="1"/>
  <c r="E21" i="1"/>
  <c r="E5" i="1"/>
  <c r="E14" i="1"/>
  <c r="E45" i="1"/>
  <c r="E25" i="1"/>
  <c r="E68" i="1"/>
  <c r="E52" i="1"/>
  <c r="E36" i="1"/>
  <c r="E20" i="1"/>
  <c r="E4" i="1"/>
  <c r="E48" i="1"/>
  <c r="E46" i="1"/>
  <c r="E26" i="1"/>
  <c r="E41" i="1"/>
  <c r="E56" i="1"/>
  <c r="E67" i="1"/>
  <c r="E51" i="1"/>
  <c r="E35" i="1"/>
  <c r="E19" i="1"/>
  <c r="E3" i="1"/>
  <c r="E30" i="1"/>
  <c r="E66" i="1"/>
  <c r="E50" i="1"/>
  <c r="E34" i="1"/>
  <c r="D52" i="1"/>
  <c r="D65" i="1"/>
  <c r="D16" i="1"/>
  <c r="D8" i="1"/>
  <c r="D51" i="1"/>
  <c r="D32" i="1"/>
  <c r="D12" i="1"/>
  <c r="D60" i="1"/>
  <c r="D31" i="1"/>
  <c r="D54" i="1"/>
  <c r="D2" i="1"/>
  <c r="D22" i="1"/>
  <c r="D36" i="1"/>
  <c r="D38" i="1"/>
  <c r="D53" i="1"/>
  <c r="D50" i="1"/>
  <c r="D49" i="1"/>
  <c r="D63" i="1"/>
  <c r="D46" i="1"/>
  <c r="D30" i="1"/>
  <c r="D14" i="1"/>
  <c r="D61" i="1"/>
  <c r="D45" i="1"/>
  <c r="D29" i="1"/>
  <c r="D13" i="1"/>
  <c r="D39" i="1"/>
  <c r="D20" i="1"/>
  <c r="D35" i="1"/>
  <c r="D66" i="1"/>
  <c r="D17" i="1"/>
  <c r="D64" i="1"/>
  <c r="D15" i="1"/>
  <c r="D28" i="1"/>
  <c r="D59" i="1"/>
  <c r="D43" i="1"/>
  <c r="D27" i="1"/>
  <c r="D11" i="1"/>
  <c r="D23" i="1"/>
  <c r="D69" i="1"/>
  <c r="D19" i="1"/>
  <c r="D18" i="1"/>
  <c r="D48" i="1"/>
  <c r="D47" i="1"/>
  <c r="D44" i="1"/>
  <c r="D58" i="1"/>
  <c r="D42" i="1"/>
  <c r="D26" i="1"/>
  <c r="D10" i="1"/>
  <c r="D21" i="1"/>
  <c r="D68" i="1"/>
  <c r="D67" i="1"/>
  <c r="D34" i="1"/>
  <c r="D62" i="1"/>
  <c r="D57" i="1"/>
  <c r="D41" i="1"/>
  <c r="D25" i="1"/>
  <c r="D9" i="1"/>
  <c r="D55" i="1"/>
  <c r="D33" i="1"/>
  <c r="D56" i="1"/>
  <c r="D40" i="1"/>
  <c r="D24" i="1"/>
  <c r="C65" i="1"/>
  <c r="C32" i="1"/>
  <c r="C63" i="1"/>
  <c r="C46" i="1"/>
  <c r="C33" i="1"/>
  <c r="C64" i="1"/>
  <c r="C31" i="1"/>
  <c r="C62" i="1"/>
  <c r="C61" i="1"/>
  <c r="C44" i="1"/>
  <c r="C11" i="1"/>
  <c r="C42" i="1"/>
  <c r="C41" i="1"/>
  <c r="C8" i="1"/>
  <c r="C55" i="1"/>
  <c r="C39" i="1"/>
  <c r="C23" i="1"/>
  <c r="C7" i="1"/>
  <c r="C50" i="1"/>
  <c r="C17" i="1"/>
  <c r="C47" i="1"/>
  <c r="C29" i="1"/>
  <c r="C27" i="1"/>
  <c r="C26" i="1"/>
  <c r="C57" i="1"/>
  <c r="C54" i="1"/>
  <c r="C38" i="1"/>
  <c r="C22" i="1"/>
  <c r="C6" i="1"/>
  <c r="C66" i="1"/>
  <c r="C49" i="1"/>
  <c r="C48" i="1"/>
  <c r="C15" i="1"/>
  <c r="C30" i="1"/>
  <c r="C60" i="1"/>
  <c r="C43" i="1"/>
  <c r="C40" i="1"/>
  <c r="C69" i="1"/>
  <c r="C53" i="1"/>
  <c r="C37" i="1"/>
  <c r="C21" i="1"/>
  <c r="C5" i="1"/>
  <c r="C34" i="1"/>
  <c r="C16" i="1"/>
  <c r="C14" i="1"/>
  <c r="C13" i="1"/>
  <c r="C28" i="1"/>
  <c r="C59" i="1"/>
  <c r="C10" i="1"/>
  <c r="C25" i="1"/>
  <c r="C24" i="1"/>
  <c r="C68" i="1"/>
  <c r="C52" i="1"/>
  <c r="C36" i="1"/>
  <c r="C20" i="1"/>
  <c r="C4" i="1"/>
  <c r="C18" i="1"/>
  <c r="C45" i="1"/>
  <c r="C12" i="1"/>
  <c r="C58" i="1"/>
  <c r="C9" i="1"/>
  <c r="C56" i="1"/>
  <c r="C67" i="1"/>
  <c r="C51" i="1"/>
  <c r="C35" i="1"/>
  <c r="C1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9A1A3F-A869-4B89-B87A-57D174B55029}" keepAlive="1" name="Query - NFFT_M4" description="Connection to the 'NFFT_M4' query in the workbook." type="5" refreshedVersion="8" background="1" saveData="1">
    <dbPr connection="Provider=Microsoft.Mashup.OleDb.1;Data Source=$Workbook$;Location=NFFT_M4;Extended Properties=&quot;&quot;" command="SELECT * FROM [NFFT_M4]"/>
  </connection>
  <connection id="2" xr16:uid="{BE84D959-9CE5-44C0-9EC9-F88BC43EDA10}" keepAlive="1" name="Query - NFFT_M5" description="Connection to the 'NFFT_M5' query in the workbook." type="5" refreshedVersion="8" background="1" saveData="1">
    <dbPr connection="Provider=Microsoft.Mashup.OleDb.1;Data Source=$Workbook$;Location=NFFT_M5;Extended Properties=&quot;&quot;" command="SELECT * FROM [NFFT_M5]"/>
  </connection>
  <connection id="3" xr16:uid="{6AA06D72-691A-4D0D-9AE9-F3672D7602BB}" keepAlive="1" name="Query - NFFT_M6" description="Connection to the 'NFFT_M6' query in the workbook." type="5" refreshedVersion="8" background="1" saveData="1">
    <dbPr connection="Provider=Microsoft.Mashup.OleDb.1;Data Source=$Workbook$;Location=NFFT_M6;Extended Properties=&quot;&quot;" command="SELECT * FROM [NFFT_M6]"/>
  </connection>
  <connection id="4" xr16:uid="{24213DB2-5B0F-4DFF-9DD9-3BC10CB7522B}" keepAlive="1" name="Query - NFFT_M7" description="Connection to the 'NFFT_M7' query in the workbook." type="5" refreshedVersion="8" background="1" saveData="1">
    <dbPr connection="Provider=Microsoft.Mashup.OleDb.1;Data Source=$Workbook$;Location=NFFT_M7;Extended Properties=&quot;&quot;" command="SELECT * FROM [NFFT_M7]"/>
  </connection>
  <connection id="5" xr16:uid="{34E92D38-3F5D-4371-A6BD-CB7BE0C5E3D7}" keepAlive="1" name="Query - NFFT_M8" description="Connection to the 'NFFT_M8' query in the workbook." type="5" refreshedVersion="8" background="1" saveData="1">
    <dbPr connection="Provider=Microsoft.Mashup.OleDb.1;Data Source=$Workbook$;Location=NFFT_M8;Extended Properties=&quot;&quot;" command="SELECT * FROM [NFFT_M8]"/>
  </connection>
</connections>
</file>

<file path=xl/sharedStrings.xml><?xml version="1.0" encoding="utf-8"?>
<sst xmlns="http://schemas.openxmlformats.org/spreadsheetml/2006/main" count="448" uniqueCount="45">
  <si>
    <t>country</t>
  </si>
  <si>
    <t>cluster_id</t>
  </si>
  <si>
    <t>Japan</t>
  </si>
  <si>
    <t>Papua New Guinea</t>
  </si>
  <si>
    <t>Philippines</t>
  </si>
  <si>
    <t>Tonga</t>
  </si>
  <si>
    <t>USA</t>
  </si>
  <si>
    <t>Mexico</t>
  </si>
  <si>
    <t>Canada</t>
  </si>
  <si>
    <t>Guatemala</t>
  </si>
  <si>
    <t>Russia</t>
  </si>
  <si>
    <t>China</t>
  </si>
  <si>
    <t>India</t>
  </si>
  <si>
    <t>Iran</t>
  </si>
  <si>
    <t>Nicaragua</t>
  </si>
  <si>
    <t>El Salvador</t>
  </si>
  <si>
    <t>Costa Rica</t>
  </si>
  <si>
    <t>Dominican</t>
  </si>
  <si>
    <t>Chile</t>
  </si>
  <si>
    <t>Argentina</t>
  </si>
  <si>
    <t>Peru</t>
  </si>
  <si>
    <t>Colombia</t>
  </si>
  <si>
    <t>Indonesia</t>
  </si>
  <si>
    <t>Timor Leste</t>
  </si>
  <si>
    <t>Australia</t>
  </si>
  <si>
    <t>New Zealand</t>
  </si>
  <si>
    <t>Algeria</t>
  </si>
  <si>
    <t>Somalia</t>
  </si>
  <si>
    <t>South Africa</t>
  </si>
  <si>
    <t>Saint Helena</t>
  </si>
  <si>
    <t>cluster</t>
  </si>
  <si>
    <t>M4+</t>
  </si>
  <si>
    <t>M5+</t>
  </si>
  <si>
    <t>M6+</t>
  </si>
  <si>
    <t>M7+</t>
  </si>
  <si>
    <t>M8+</t>
  </si>
  <si>
    <t>return_P_nomes</t>
  </si>
  <si>
    <t>avg_gap</t>
  </si>
  <si>
    <t>Number of record</t>
  </si>
  <si>
    <t>Number of the day</t>
  </si>
  <si>
    <t>percent</t>
  </si>
  <si>
    <t>highest_amplitude</t>
  </si>
  <si>
    <t>highest_frequency</t>
  </si>
  <si>
    <t>highest_years_not_normalised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</si>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</sst>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 applyAlignment="1">
      <alignment horizontal="center"/>
    </xf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83190D-F568-470B-B9D9-3AA922FE4330}" autoFormatId="16" applyNumberFormats="0" applyBorderFormats="0" applyFontFormats="0" applyPatternFormats="0" applyAlignmentFormats="0" applyWidthHeightFormats="0">
  <queryTableRefresh nextId="11">
    <queryTableFields count="10">
      <queryTableField id="1" name="country" tableColumnId="1"/>
      <queryTableField id="2" name="cluster" tableColumnId="2"/>
      <queryTableField id="3" name="return_P_nomes" tableColumnId="3"/>
      <queryTableField id="4" name="avg_gap" tableColumnId="4"/>
      <queryTableField id="5" name="Number of record" tableColumnId="5"/>
      <queryTableField id="6" name="Number of the day" tableColumnId="6"/>
      <queryTableField id="7" name="percent" tableColumnId="7"/>
      <queryTableField id="8" name="highest_amplitude" tableColumnId="8"/>
      <queryTableField id="9" name="highest_frequency" tableColumnId="9"/>
      <queryTableField id="10" name="highest_years_not_normalised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00667A9-D1E2-4DB5-9BC1-3562E53B939A}" autoFormatId="16" applyNumberFormats="0" applyBorderFormats="0" applyFontFormats="0" applyPatternFormats="0" applyAlignmentFormats="0" applyWidthHeightFormats="0">
  <queryTableRefresh nextId="11">
    <queryTableFields count="10">
      <queryTableField id="1" name="country" tableColumnId="1"/>
      <queryTableField id="2" name="cluster" tableColumnId="2"/>
      <queryTableField id="3" name="return_P_nomes" tableColumnId="3"/>
      <queryTableField id="4" name="avg_gap" tableColumnId="4"/>
      <queryTableField id="5" name="Number of record" tableColumnId="5"/>
      <queryTableField id="6" name="Number of the day" tableColumnId="6"/>
      <queryTableField id="7" name="percent" tableColumnId="7"/>
      <queryTableField id="8" name="highest_amplitude" tableColumnId="8"/>
      <queryTableField id="9" name="highest_frequency" tableColumnId="9"/>
      <queryTableField id="10" name="highest_years_not_normalised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4998661-C63A-4895-8797-C9B618FD32AF}" autoFormatId="16" applyNumberFormats="0" applyBorderFormats="0" applyFontFormats="0" applyPatternFormats="0" applyAlignmentFormats="0" applyWidthHeightFormats="0">
  <queryTableRefresh nextId="11">
    <queryTableFields count="10">
      <queryTableField id="1" name="country" tableColumnId="1"/>
      <queryTableField id="2" name="cluster" tableColumnId="2"/>
      <queryTableField id="3" name="return_P_nomes" tableColumnId="3"/>
      <queryTableField id="4" name="avg_gap" tableColumnId="4"/>
      <queryTableField id="5" name="Number of record" tableColumnId="5"/>
      <queryTableField id="6" name="Number of the day" tableColumnId="6"/>
      <queryTableField id="7" name="percent" tableColumnId="7"/>
      <queryTableField id="8" name="highest_amplitude" tableColumnId="8"/>
      <queryTableField id="9" name="highest_frequency" tableColumnId="9"/>
      <queryTableField id="10" name="highest_years_not_normalised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862E15C-7C41-4FD4-8453-AF102FB2C800}" autoFormatId="16" applyNumberFormats="0" applyBorderFormats="0" applyFontFormats="0" applyPatternFormats="0" applyAlignmentFormats="0" applyWidthHeightFormats="0">
  <queryTableRefresh nextId="11">
    <queryTableFields count="10">
      <queryTableField id="1" name="country" tableColumnId="1"/>
      <queryTableField id="2" name="cluster" tableColumnId="2"/>
      <queryTableField id="3" name="return_P_nomes" tableColumnId="3"/>
      <queryTableField id="4" name="avg_gap" tableColumnId="4"/>
      <queryTableField id="5" name="Number of record" tableColumnId="5"/>
      <queryTableField id="6" name="Number of the day" tableColumnId="6"/>
      <queryTableField id="7" name="percent" tableColumnId="7"/>
      <queryTableField id="8" name="highest_amplitude" tableColumnId="8"/>
      <queryTableField id="9" name="highest_frequency" tableColumnId="9"/>
      <queryTableField id="10" name="highest_years_not_normalised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6919F0F-CE42-43DF-9349-710B41A5C3E0}" autoFormatId="16" applyNumberFormats="0" applyBorderFormats="0" applyFontFormats="0" applyPatternFormats="0" applyAlignmentFormats="0" applyWidthHeightFormats="0">
  <queryTableRefresh nextId="11">
    <queryTableFields count="10">
      <queryTableField id="1" name="country" tableColumnId="1"/>
      <queryTableField id="2" name="cluster" tableColumnId="2"/>
      <queryTableField id="3" name="return_P_nomes" tableColumnId="3"/>
      <queryTableField id="4" name="avg_gap" tableColumnId="4"/>
      <queryTableField id="5" name="Number of record" tableColumnId="5"/>
      <queryTableField id="6" name="Number of the day" tableColumnId="6"/>
      <queryTableField id="7" name="percent" tableColumnId="7"/>
      <queryTableField id="8" name="highest_amplitude" tableColumnId="8"/>
      <queryTableField id="9" name="highest_frequency" tableColumnId="9"/>
      <queryTableField id="10" name="highest_years_not_normalise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E8B69F-D3CC-4364-9553-6700701777E3}" name="NFFT_M4" displayName="NFFT_M4" ref="B1:K69" tableType="queryTable" totalsRowShown="0">
  <autoFilter ref="B1:K69" xr:uid="{74E8B69F-D3CC-4364-9553-6700701777E3}"/>
  <tableColumns count="10">
    <tableColumn id="1" xr3:uid="{2D97EAC3-5E2D-448E-8696-76632515C957}" uniqueName="1" name="country" queryTableFieldId="1" dataDxfId="5"/>
    <tableColumn id="2" xr3:uid="{DB0D44BB-109B-455A-A135-6CABE9CEE2F1}" uniqueName="2" name="cluster" queryTableFieldId="2"/>
    <tableColumn id="3" xr3:uid="{085C3795-5ECD-4AEA-A732-7673B1D4FC19}" uniqueName="3" name="return_P_nomes" queryTableFieldId="3"/>
    <tableColumn id="4" xr3:uid="{D2D2661F-4675-486A-8D60-655E17520029}" uniqueName="4" name="avg_gap" queryTableFieldId="4"/>
    <tableColumn id="5" xr3:uid="{5E39A5EC-4C60-4311-9D40-9EC8149D9CEB}" uniqueName="5" name="Number of record" queryTableFieldId="5"/>
    <tableColumn id="6" xr3:uid="{3BFD862D-25ED-4636-A057-86D20FBA3344}" uniqueName="6" name="Number of the day" queryTableFieldId="6"/>
    <tableColumn id="7" xr3:uid="{AA0C1719-BD5A-4D00-9C78-D497B06EF92D}" uniqueName="7" name="percent" queryTableFieldId="7"/>
    <tableColumn id="8" xr3:uid="{F53B28C2-73DE-444B-9D3D-979E787DEAC5}" uniqueName="8" name="highest_amplitude" queryTableFieldId="8"/>
    <tableColumn id="9" xr3:uid="{45AC8E8B-19E7-4BC4-BFDA-B1198D2CC2B5}" uniqueName="9" name="highest_frequency" queryTableFieldId="9"/>
    <tableColumn id="10" xr3:uid="{53C88B42-5F3A-4CCA-AE26-508FEEE73131}" uniqueName="10" name="highest_years_not_normalised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5089FD-BD0F-4EFB-8A47-6538D6E40107}" name="NFFT_M5" displayName="NFFT_M5" ref="B1:K69" tableType="queryTable" totalsRowShown="0">
  <autoFilter ref="B1:K69" xr:uid="{815089FD-BD0F-4EFB-8A47-6538D6E40107}"/>
  <tableColumns count="10">
    <tableColumn id="1" xr3:uid="{167645A1-22CF-4F39-BCB6-CDE304F6E264}" uniqueName="1" name="country" queryTableFieldId="1" dataDxfId="4"/>
    <tableColumn id="2" xr3:uid="{EE36BEF2-57F1-4EA1-8DAC-11B98581D62E}" uniqueName="2" name="cluster" queryTableFieldId="2"/>
    <tableColumn id="3" xr3:uid="{49235565-B786-4F64-A7D7-F34ABFE56454}" uniqueName="3" name="return_P_nomes" queryTableFieldId="3"/>
    <tableColumn id="4" xr3:uid="{E0446B0C-9DFD-458A-B5E1-F73619DEDFAB}" uniqueName="4" name="avg_gap" queryTableFieldId="4"/>
    <tableColumn id="5" xr3:uid="{407104A5-D19B-4339-8C1A-603126320429}" uniqueName="5" name="Number of record" queryTableFieldId="5"/>
    <tableColumn id="6" xr3:uid="{3188A7CB-72D7-4B90-A78E-20FE71ADD18B}" uniqueName="6" name="Number of the day" queryTableFieldId="6"/>
    <tableColumn id="7" xr3:uid="{EFCA1CEE-8E25-4153-B32F-85B6393656A5}" uniqueName="7" name="percent" queryTableFieldId="7"/>
    <tableColumn id="8" xr3:uid="{9A9C404D-7E37-4CDE-B56B-E279F54E1FE0}" uniqueName="8" name="highest_amplitude" queryTableFieldId="8"/>
    <tableColumn id="9" xr3:uid="{F16E31F9-4261-43AD-97B7-3FDB862D7F4E}" uniqueName="9" name="highest_frequency" queryTableFieldId="9"/>
    <tableColumn id="10" xr3:uid="{539C30AB-2805-484E-9297-963CD869DE9D}" uniqueName="10" name="highest_years_not_normalised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688474-5D8F-427C-BD95-E98AF07DFC4D}" name="NFFT_M6" displayName="NFFT_M6" ref="B1:K62" tableType="queryTable" totalsRowShown="0">
  <autoFilter ref="B1:K62" xr:uid="{B4688474-5D8F-427C-BD95-E98AF07DFC4D}"/>
  <tableColumns count="10">
    <tableColumn id="1" xr3:uid="{FD623331-0C3F-4B25-A0B8-960610F77377}" uniqueName="1" name="country" queryTableFieldId="1" dataDxfId="3"/>
    <tableColumn id="2" xr3:uid="{9C1BBAF4-992E-468C-810E-61777F8AED59}" uniqueName="2" name="cluster" queryTableFieldId="2"/>
    <tableColumn id="3" xr3:uid="{33D533F9-D514-41CD-8A41-B8E33B4FB0C7}" uniqueName="3" name="return_P_nomes" queryTableFieldId="3"/>
    <tableColumn id="4" xr3:uid="{E12C85D9-D7E8-4E8C-B712-9370AB362459}" uniqueName="4" name="avg_gap" queryTableFieldId="4"/>
    <tableColumn id="5" xr3:uid="{60C3215F-50F0-4DE2-8FF0-634B5D5ABBD0}" uniqueName="5" name="Number of record" queryTableFieldId="5"/>
    <tableColumn id="6" xr3:uid="{735491D4-0741-43E7-BE41-03E2C1C31FE4}" uniqueName="6" name="Number of the day" queryTableFieldId="6"/>
    <tableColumn id="7" xr3:uid="{DB8C38D9-E291-4FAA-A949-0A11C6DC4811}" uniqueName="7" name="percent" queryTableFieldId="7"/>
    <tableColumn id="8" xr3:uid="{27CD5697-0DCA-40D3-A896-3113A6F1BFF2}" uniqueName="8" name="highest_amplitude" queryTableFieldId="8"/>
    <tableColumn id="9" xr3:uid="{8CE67A51-7927-4D50-9854-C92ADF64344A}" uniqueName="9" name="highest_frequency" queryTableFieldId="9"/>
    <tableColumn id="10" xr3:uid="{6CEE0E5C-4046-4CCB-AFCF-5B95AF98D949}" uniqueName="10" name="highest_years_not_normalised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0587B9-3277-4DF6-A19F-B591C5077167}" name="NFFT_M7" displayName="NFFT_M7" ref="B1:K47" tableType="queryTable" totalsRowShown="0">
  <autoFilter ref="B1:K47" xr:uid="{F90587B9-3277-4DF6-A19F-B591C5077167}"/>
  <tableColumns count="10">
    <tableColumn id="1" xr3:uid="{FD3AECF3-2F73-4AFE-AE0A-60C95A678085}" uniqueName="1" name="country" queryTableFieldId="1" dataDxfId="2"/>
    <tableColumn id="2" xr3:uid="{31DC8EDE-84A8-42AC-83B3-531D2F466128}" uniqueName="2" name="cluster" queryTableFieldId="2"/>
    <tableColumn id="3" xr3:uid="{B26DD0CB-DBBB-4805-B7FF-FBA65C76F1C5}" uniqueName="3" name="return_P_nomes" queryTableFieldId="3"/>
    <tableColumn id="4" xr3:uid="{B11A4716-7DA3-4A5F-8D46-038A44C4BC17}" uniqueName="4" name="avg_gap" queryTableFieldId="4"/>
    <tableColumn id="5" xr3:uid="{943E2318-1584-4609-BDDF-6E14DCD79E78}" uniqueName="5" name="Number of record" queryTableFieldId="5"/>
    <tableColumn id="6" xr3:uid="{0C9781DA-1582-4EAC-910F-0098DC4224DC}" uniqueName="6" name="Number of the day" queryTableFieldId="6"/>
    <tableColumn id="7" xr3:uid="{0DD63BFA-ED70-4713-8F58-9DE15F52E84D}" uniqueName="7" name="percent" queryTableFieldId="7"/>
    <tableColumn id="8" xr3:uid="{4D4805BB-4F56-44CC-9051-462905454394}" uniqueName="8" name="highest_amplitude" queryTableFieldId="8"/>
    <tableColumn id="9" xr3:uid="{70AD3325-F90D-4185-8D8F-FBEEFED77C94}" uniqueName="9" name="highest_frequency" queryTableFieldId="9"/>
    <tableColumn id="10" xr3:uid="{20D65C37-7393-41E7-875D-E75FD28F842F}" uniqueName="10" name="highest_years_not_normalised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624DAC-80CF-49E3-8AF6-71A7440BA7C0}" name="NFFT_M8" displayName="NFFT_M8" ref="B1:K41" tableType="queryTable" totalsRowShown="0">
  <autoFilter ref="B1:K41" xr:uid="{FD624DAC-80CF-49E3-8AF6-71A7440BA7C0}"/>
  <tableColumns count="10">
    <tableColumn id="1" xr3:uid="{9AF8369A-D3C4-40FD-A24C-A2B2093BD43C}" uniqueName="1" name="country" queryTableFieldId="1" dataDxfId="1"/>
    <tableColumn id="2" xr3:uid="{9BF1D520-0CD1-400F-A65D-C1E58252C76C}" uniqueName="2" name="cluster" queryTableFieldId="2"/>
    <tableColumn id="3" xr3:uid="{F3675C15-4A58-4525-86D4-EFE4B73EC353}" uniqueName="3" name="return_P_nomes" queryTableFieldId="3" dataDxfId="0"/>
    <tableColumn id="4" xr3:uid="{0366F473-05DD-4552-A72E-E1D4B9EF250C}" uniqueName="4" name="avg_gap" queryTableFieldId="4"/>
    <tableColumn id="5" xr3:uid="{8083DB3F-2380-4E7B-89EF-2205ECE8CB98}" uniqueName="5" name="Number of record" queryTableFieldId="5"/>
    <tableColumn id="6" xr3:uid="{5FA97AE7-7810-4856-A49E-08B118BE63EB}" uniqueName="6" name="Number of the day" queryTableFieldId="6"/>
    <tableColumn id="7" xr3:uid="{82B07339-FC7A-4A67-8749-F665155BF0F9}" uniqueName="7" name="percent" queryTableFieldId="7"/>
    <tableColumn id="8" xr3:uid="{2D2B22CF-24B2-4C94-927A-CC73E9742829}" uniqueName="8" name="highest_amplitude" queryTableFieldId="8"/>
    <tableColumn id="9" xr3:uid="{BAED9873-1CC5-4B1C-864E-22444695DA59}" uniqueName="9" name="highest_frequency" queryTableFieldId="9"/>
    <tableColumn id="10" xr3:uid="{7ED0FDBF-4EA0-4626-8672-C5BF85CA1B07}" uniqueName="10" name="highest_years_not_normalised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CFCCA-B3FA-4800-BA4D-D2A88F076144}">
  <dimension ref="A1:G69"/>
  <sheetViews>
    <sheetView tabSelected="1" topLeftCell="A56" workbookViewId="0">
      <selection activeCell="F63" sqref="F63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 x14ac:dyDescent="0.35">
      <c r="A2" t="s">
        <v>2</v>
      </c>
      <c r="B2">
        <v>1</v>
      </c>
      <c r="C2">
        <f>IF(ISBLANK(VLOOKUP(A2&amp;" "&amp;B2,NFFT_M4!$A$2:$D$100,4,FALSE))," ",_xlfn.IFNA(VLOOKUP(A2&amp;" "&amp;B2,NFFT_M4!$A$2:$D$100,4,FALSE)," "))</f>
        <v>1.5409999999999999</v>
      </c>
      <c r="D2">
        <f>IF(ISBLANK(VLOOKUP(A2&amp;" "&amp;B2,NFFT_M5!$A$2:$D$100,4,FALSE))," ",_xlfn.IFNA(VLOOKUP(A2&amp;" "&amp;B2,NFFT_M5!$A$2:$D$100,4,FALSE)," "))</f>
        <v>1.5409999999999999</v>
      </c>
      <c r="E2">
        <f>IF(ISBLANK(VLOOKUP(A2&amp;" "&amp;B2,NFFT_M6!$A$2:$D$100,4,FALSE))," ",_xlfn.IFNA(VLOOKUP(A2&amp;" "&amp;B2,NFFT_M6!$A$2:$D$100,4,FALSE)," "))</f>
        <v>1.833</v>
      </c>
      <c r="F2">
        <f>IF(ISBLANK(VLOOKUP(A2&amp;" "&amp;B2,NFFT_M7!$A$2:$D$100,4,FALSE))," ",_xlfn.IFNA(VLOOKUP(A2&amp;" "&amp;B2,NFFT_M7!$A$2:$D$100,4,FALSE)," "))</f>
        <v>2.5870000000000002</v>
      </c>
      <c r="G2" t="str">
        <f>IF(ISBLANK(VLOOKUP(A2&amp;" "&amp;B2,NFFT_M8!$A$2:$D$100,4,FALSE))," ",_xlfn.IFNA(VLOOKUP(A2&amp;" "&amp;B2,NFFT_M8!$A$2:$D$100,4,FALSE)," "))</f>
        <v/>
      </c>
    </row>
    <row r="3" spans="1:7" x14ac:dyDescent="0.35">
      <c r="A3" t="s">
        <v>2</v>
      </c>
      <c r="B3">
        <v>2</v>
      </c>
      <c r="C3">
        <f>IF(ISBLANK(VLOOKUP(A3&amp;" "&amp;B3,NFFT_M4!$A$2:$D$100,4,FALSE))," ",_xlfn.IFNA(VLOOKUP(A3&amp;" "&amp;B3,NFFT_M4!$A$2:$D$100,4,FALSE)," "))</f>
        <v>1.506</v>
      </c>
      <c r="D3">
        <f>IF(ISBLANK(VLOOKUP(A3&amp;" "&amp;B3,NFFT_M5!$A$2:$D$100,4,FALSE))," ",_xlfn.IFNA(VLOOKUP(A3&amp;" "&amp;B3,NFFT_M5!$A$2:$D$100,4,FALSE)," "))</f>
        <v>1.506</v>
      </c>
      <c r="E3">
        <f>IF(ISBLANK(VLOOKUP(A3&amp;" "&amp;B3,NFFT_M6!$A$2:$D$100,4,FALSE))," ",_xlfn.IFNA(VLOOKUP(A3&amp;" "&amp;B3,NFFT_M6!$A$2:$D$100,4,FALSE)," "))</f>
        <v>2.7429999999999999</v>
      </c>
      <c r="F3" t="str">
        <f>IF(ISBLANK(VLOOKUP(A3&amp;" "&amp;B3,NFFT_M7!$A$2:$D$100,4,FALSE))," ",_xlfn.IFNA(VLOOKUP(A3&amp;" "&amp;B3,NFFT_M7!$A$2:$D$100,4,FALSE)," "))</f>
        <v xml:space="preserve"> </v>
      </c>
      <c r="G3" t="str">
        <f>IF(ISBLANK(VLOOKUP(A3&amp;" "&amp;B3,NFFT_M8!$A$2:$D$100,4,FALSE))," ",_xlfn.IFNA(VLOOKUP(A3&amp;" "&amp;B3,NFFT_M8!$A$2:$D$100,4,FALSE)," "))</f>
        <v/>
      </c>
    </row>
    <row r="4" spans="1:7" x14ac:dyDescent="0.35">
      <c r="A4" t="s">
        <v>2</v>
      </c>
      <c r="B4">
        <v>3</v>
      </c>
      <c r="C4" t="str">
        <f>IF(ISBLANK(VLOOKUP(A4&amp;" "&amp;B4,NFFT_M4!$A$2:$D$100,4,FALSE))," ",_xlfn.IFNA(VLOOKUP(A4&amp;" "&amp;B4,NFFT_M4!$A$2:$D$100,4,FALSE)," "))</f>
        <v xml:space="preserve"> </v>
      </c>
      <c r="D4">
        <f>IF(ISBLANK(VLOOKUP(A4&amp;" "&amp;B4,NFFT_M5!$A$2:$D$100,4,FALSE))," ",_xlfn.IFNA(VLOOKUP(A4&amp;" "&amp;B4,NFFT_M5!$A$2:$D$100,4,FALSE)," "))</f>
        <v>3.8039999999999998</v>
      </c>
      <c r="E4" t="str">
        <f>IF(ISBLANK(VLOOKUP(A4&amp;" "&amp;B4,NFFT_M6!$A$2:$D$100,4,FALSE))," ",_xlfn.IFNA(VLOOKUP(A4&amp;" "&amp;B4,NFFT_M6!$A$2:$D$100,4,FALSE)," "))</f>
        <v xml:space="preserve"> </v>
      </c>
      <c r="F4" t="str">
        <f>IF(ISBLANK(VLOOKUP(A4&amp;" "&amp;B4,NFFT_M7!$A$2:$D$100,4,FALSE))," ",_xlfn.IFNA(VLOOKUP(A4&amp;" "&amp;B4,NFFT_M7!$A$2:$D$100,4,FALSE)," "))</f>
        <v xml:space="preserve"> </v>
      </c>
      <c r="G4" t="str">
        <f>IF(ISBLANK(VLOOKUP(A4&amp;" "&amp;B4,NFFT_M8!$A$2:$D$100,4,FALSE))," ",_xlfn.IFNA(VLOOKUP(A4&amp;" "&amp;B4,NFFT_M8!$A$2:$D$100,4,FALSE)," "))</f>
        <v xml:space="preserve"> </v>
      </c>
    </row>
    <row r="5" spans="1:7" x14ac:dyDescent="0.35">
      <c r="A5" t="s">
        <v>3</v>
      </c>
      <c r="B5">
        <v>1</v>
      </c>
      <c r="C5">
        <f>IF(ISBLANK(VLOOKUP(A5&amp;" "&amp;B5,NFFT_M4!$A$2:$D$100,4,FALSE))," ",_xlfn.IFNA(VLOOKUP(A5&amp;" "&amp;B5,NFFT_M4!$A$2:$D$100,4,FALSE)," "))</f>
        <v>2.11</v>
      </c>
      <c r="D5">
        <f>IF(ISBLANK(VLOOKUP(A5&amp;" "&amp;B5,NFFT_M5!$A$2:$D$100,4,FALSE))," ",_xlfn.IFNA(VLOOKUP(A5&amp;" "&amp;B5,NFFT_M5!$A$2:$D$100,4,FALSE)," "))</f>
        <v>2.11</v>
      </c>
      <c r="E5">
        <f>IF(ISBLANK(VLOOKUP(A5&amp;" "&amp;B5,NFFT_M6!$A$2:$D$100,4,FALSE))," ",_xlfn.IFNA(VLOOKUP(A5&amp;" "&amp;B5,NFFT_M6!$A$2:$D$100,4,FALSE)," "))</f>
        <v>2.11</v>
      </c>
      <c r="F5">
        <f>IF(ISBLANK(VLOOKUP(A5&amp;" "&amp;B5,NFFT_M7!$A$2:$D$100,4,FALSE))," ",_xlfn.IFNA(VLOOKUP(A5&amp;" "&amp;B5,NFFT_M7!$A$2:$D$100,4,FALSE)," "))</f>
        <v>2.7949999999999999</v>
      </c>
      <c r="G5" t="str">
        <f>IF(ISBLANK(VLOOKUP(A5&amp;" "&amp;B5,NFFT_M8!$A$2:$D$100,4,FALSE))," ",_xlfn.IFNA(VLOOKUP(A5&amp;" "&amp;B5,NFFT_M8!$A$2:$D$100,4,FALSE)," "))</f>
        <v/>
      </c>
    </row>
    <row r="6" spans="1:7" x14ac:dyDescent="0.35">
      <c r="A6" t="s">
        <v>3</v>
      </c>
      <c r="B6">
        <v>2</v>
      </c>
      <c r="C6">
        <f>IF(ISBLANK(VLOOKUP(A6&amp;" "&amp;B6,NFFT_M4!$A$2:$D$100,4,FALSE))," ",_xlfn.IFNA(VLOOKUP(A6&amp;" "&amp;B6,NFFT_M4!$A$2:$D$100,4,FALSE)," "))</f>
        <v>1.2310000000000001</v>
      </c>
      <c r="D6">
        <f>IF(ISBLANK(VLOOKUP(A6&amp;" "&amp;B6,NFFT_M5!$A$2:$D$100,4,FALSE))," ",_xlfn.IFNA(VLOOKUP(A6&amp;" "&amp;B6,NFFT_M5!$A$2:$D$100,4,FALSE)," "))</f>
        <v>1.2769999999999999</v>
      </c>
      <c r="E6" t="str">
        <f>IF(ISBLANK(VLOOKUP(A6&amp;" "&amp;B6,NFFT_M6!$A$2:$D$100,4,FALSE))," ",_xlfn.IFNA(VLOOKUP(A6&amp;" "&amp;B6,NFFT_M6!$A$2:$D$100,4,FALSE)," "))</f>
        <v xml:space="preserve"> </v>
      </c>
      <c r="F6" t="str">
        <f>IF(ISBLANK(VLOOKUP(A6&amp;" "&amp;B6,NFFT_M7!$A$2:$D$100,4,FALSE))," ",_xlfn.IFNA(VLOOKUP(A6&amp;" "&amp;B6,NFFT_M7!$A$2:$D$100,4,FALSE)," "))</f>
        <v xml:space="preserve"> </v>
      </c>
      <c r="G6" t="str">
        <f>IF(ISBLANK(VLOOKUP(A6&amp;" "&amp;B6,NFFT_M8!$A$2:$D$100,4,FALSE))," ",_xlfn.IFNA(VLOOKUP(A6&amp;" "&amp;B6,NFFT_M8!$A$2:$D$100,4,FALSE)," "))</f>
        <v xml:space="preserve"> </v>
      </c>
    </row>
    <row r="7" spans="1:7" x14ac:dyDescent="0.35">
      <c r="A7" t="s">
        <v>3</v>
      </c>
      <c r="B7">
        <v>3</v>
      </c>
      <c r="C7">
        <f>IF(ISBLANK(VLOOKUP(A7&amp;" "&amp;B7,NFFT_M4!$A$2:$D$100,4,FALSE))," ",_xlfn.IFNA(VLOOKUP(A7&amp;" "&amp;B7,NFFT_M4!$A$2:$D$100,4,FALSE)," "))</f>
        <v>2.3730000000000002</v>
      </c>
      <c r="D7">
        <f>IF(ISBLANK(VLOOKUP(A7&amp;" "&amp;B7,NFFT_M5!$A$2:$D$100,4,FALSE))," ",_xlfn.IFNA(VLOOKUP(A7&amp;" "&amp;B7,NFFT_M5!$A$2:$D$100,4,FALSE)," "))</f>
        <v>5.5860000000000003</v>
      </c>
      <c r="E7" t="str">
        <f>IF(ISBLANK(VLOOKUP(A7&amp;" "&amp;B7,NFFT_M6!$A$2:$D$100,4,FALSE))," ",_xlfn.IFNA(VLOOKUP(A7&amp;" "&amp;B7,NFFT_M6!$A$2:$D$100,4,FALSE)," "))</f>
        <v xml:space="preserve"> </v>
      </c>
      <c r="F7" t="str">
        <f>IF(ISBLANK(VLOOKUP(A7&amp;" "&amp;B7,NFFT_M7!$A$2:$D$100,4,FALSE))," ",_xlfn.IFNA(VLOOKUP(A7&amp;" "&amp;B7,NFFT_M7!$A$2:$D$100,4,FALSE)," "))</f>
        <v xml:space="preserve"> </v>
      </c>
      <c r="G7" t="str">
        <f>IF(ISBLANK(VLOOKUP(A7&amp;" "&amp;B7,NFFT_M8!$A$2:$D$100,4,FALSE))," ",_xlfn.IFNA(VLOOKUP(A7&amp;" "&amp;B7,NFFT_M8!$A$2:$D$100,4,FALSE)," "))</f>
        <v xml:space="preserve"> </v>
      </c>
    </row>
    <row r="8" spans="1:7" x14ac:dyDescent="0.35">
      <c r="A8" t="s">
        <v>4</v>
      </c>
      <c r="B8">
        <v>1</v>
      </c>
      <c r="C8">
        <f>IF(ISBLANK(VLOOKUP(A8&amp;" "&amp;B8,NFFT_M4!$A$2:$D$100,4,FALSE))," ",_xlfn.IFNA(VLOOKUP(A8&amp;" "&amp;B8,NFFT_M4!$A$2:$D$100,4,FALSE)," "))</f>
        <v>1.6020000000000001</v>
      </c>
      <c r="D8">
        <f>IF(ISBLANK(VLOOKUP(A8&amp;" "&amp;B8,NFFT_M5!$A$2:$D$100,4,FALSE))," ",_xlfn.IFNA(VLOOKUP(A8&amp;" "&amp;B8,NFFT_M5!$A$2:$D$100,4,FALSE)," "))</f>
        <v>1.6020000000000001</v>
      </c>
      <c r="E8">
        <f>IF(ISBLANK(VLOOKUP(A8&amp;" "&amp;B8,NFFT_M6!$A$2:$D$100,4,FALSE))," ",_xlfn.IFNA(VLOOKUP(A8&amp;" "&amp;B8,NFFT_M6!$A$2:$D$100,4,FALSE)," "))</f>
        <v>1.5920000000000001</v>
      </c>
      <c r="F8">
        <f>IF(ISBLANK(VLOOKUP(A8&amp;" "&amp;B8,NFFT_M7!$A$2:$D$100,4,FALSE))," ",_xlfn.IFNA(VLOOKUP(A8&amp;" "&amp;B8,NFFT_M7!$A$2:$D$100,4,FALSE)," "))</f>
        <v>2.4910000000000001</v>
      </c>
      <c r="G8" t="str">
        <f>IF(ISBLANK(VLOOKUP(A8&amp;" "&amp;B8,NFFT_M8!$A$2:$D$100,4,FALSE))," ",_xlfn.IFNA(VLOOKUP(A8&amp;" "&amp;B8,NFFT_M8!$A$2:$D$100,4,FALSE)," "))</f>
        <v/>
      </c>
    </row>
    <row r="9" spans="1:7" x14ac:dyDescent="0.35">
      <c r="A9" t="s">
        <v>4</v>
      </c>
      <c r="B9">
        <v>2</v>
      </c>
      <c r="C9" t="str">
        <f>IF(ISBLANK(VLOOKUP(A9&amp;" "&amp;B9,NFFT_M4!$A$2:$D$100,4,FALSE))," ",_xlfn.IFNA(VLOOKUP(A9&amp;" "&amp;B9,NFFT_M4!$A$2:$D$100,4,FALSE)," "))</f>
        <v xml:space="preserve"> </v>
      </c>
      <c r="D9" t="str">
        <f>IF(ISBLANK(VLOOKUP(A9&amp;" "&amp;B9,NFFT_M5!$A$2:$D$100,4,FALSE))," ",_xlfn.IFNA(VLOOKUP(A9&amp;" "&amp;B9,NFFT_M5!$A$2:$D$100,4,FALSE)," "))</f>
        <v xml:space="preserve"> </v>
      </c>
      <c r="E9" t="str">
        <f>IF(ISBLANK(VLOOKUP(A9&amp;" "&amp;B9,NFFT_M6!$A$2:$D$100,4,FALSE))," ",_xlfn.IFNA(VLOOKUP(A9&amp;" "&amp;B9,NFFT_M6!$A$2:$D$100,4,FALSE)," "))</f>
        <v xml:space="preserve"> </v>
      </c>
      <c r="F9" t="str">
        <f>IF(ISBLANK(VLOOKUP(A9&amp;" "&amp;B9,NFFT_M7!$A$2:$D$100,4,FALSE))," ",_xlfn.IFNA(VLOOKUP(A9&amp;" "&amp;B9,NFFT_M7!$A$2:$D$100,4,FALSE)," "))</f>
        <v xml:space="preserve"> </v>
      </c>
      <c r="G9" t="str">
        <f>IF(ISBLANK(VLOOKUP(A9&amp;" "&amp;B9,NFFT_M8!$A$2:$D$100,4,FALSE))," ",_xlfn.IFNA(VLOOKUP(A9&amp;" "&amp;B9,NFFT_M8!$A$2:$D$100,4,FALSE)," "))</f>
        <v xml:space="preserve"> </v>
      </c>
    </row>
    <row r="10" spans="1:7" x14ac:dyDescent="0.35">
      <c r="A10" t="s">
        <v>5</v>
      </c>
      <c r="B10">
        <v>1</v>
      </c>
      <c r="C10">
        <f>IF(ISBLANK(VLOOKUP(A10&amp;" "&amp;B10,NFFT_M4!$A$2:$D$100,4,FALSE))," ",_xlfn.IFNA(VLOOKUP(A10&amp;" "&amp;B10,NFFT_M4!$A$2:$D$100,4,FALSE)," "))</f>
        <v>1.431</v>
      </c>
      <c r="D10">
        <f>IF(ISBLANK(VLOOKUP(A10&amp;" "&amp;B10,NFFT_M5!$A$2:$D$100,4,FALSE))," ",_xlfn.IFNA(VLOOKUP(A10&amp;" "&amp;B10,NFFT_M5!$A$2:$D$100,4,FALSE)," "))</f>
        <v>1.431</v>
      </c>
      <c r="E10">
        <f>IF(ISBLANK(VLOOKUP(A10&amp;" "&amp;B10,NFFT_M6!$A$2:$D$100,4,FALSE))," ",_xlfn.IFNA(VLOOKUP(A10&amp;" "&amp;B10,NFFT_M6!$A$2:$D$100,4,FALSE)," "))</f>
        <v>1.6619999999999999</v>
      </c>
      <c r="F10">
        <f>IF(ISBLANK(VLOOKUP(A10&amp;" "&amp;B10,NFFT_M7!$A$2:$D$100,4,FALSE))," ",_xlfn.IFNA(VLOOKUP(A10&amp;" "&amp;B10,NFFT_M7!$A$2:$D$100,4,FALSE)," "))</f>
        <v>4.1920000000000002</v>
      </c>
      <c r="G10" t="str">
        <f>IF(ISBLANK(VLOOKUP(A10&amp;" "&amp;B10,NFFT_M8!$A$2:$D$100,4,FALSE))," ",_xlfn.IFNA(VLOOKUP(A10&amp;" "&amp;B10,NFFT_M8!$A$2:$D$100,4,FALSE)," "))</f>
        <v/>
      </c>
    </row>
    <row r="11" spans="1:7" x14ac:dyDescent="0.35">
      <c r="A11" t="s">
        <v>6</v>
      </c>
      <c r="B11">
        <v>1</v>
      </c>
      <c r="C11">
        <f>IF(ISBLANK(VLOOKUP(A11&amp;" "&amp;B11,NFFT_M4!$A$2:$D$100,4,FALSE))," ",_xlfn.IFNA(VLOOKUP(A11&amp;" "&amp;B11,NFFT_M4!$A$2:$D$100,4,FALSE)," "))</f>
        <v>2.0910000000000002</v>
      </c>
      <c r="D11">
        <f>IF(ISBLANK(VLOOKUP(A11&amp;" "&amp;B11,NFFT_M5!$A$2:$D$100,4,FALSE))," ",_xlfn.IFNA(VLOOKUP(A11&amp;" "&amp;B11,NFFT_M5!$A$2:$D$100,4,FALSE)," "))</f>
        <v>2.0910000000000002</v>
      </c>
      <c r="E11">
        <f>IF(ISBLANK(VLOOKUP(A11&amp;" "&amp;B11,NFFT_M6!$A$2:$D$100,4,FALSE))," ",_xlfn.IFNA(VLOOKUP(A11&amp;" "&amp;B11,NFFT_M6!$A$2:$D$100,4,FALSE)," "))</f>
        <v>1.804</v>
      </c>
      <c r="F11">
        <f>IF(ISBLANK(VLOOKUP(A11&amp;" "&amp;B11,NFFT_M7!$A$2:$D$100,4,FALSE))," ",_xlfn.IFNA(VLOOKUP(A11&amp;" "&amp;B11,NFFT_M7!$A$2:$D$100,4,FALSE)," "))</f>
        <v>5.9930000000000003</v>
      </c>
      <c r="G11" t="str">
        <f>IF(ISBLANK(VLOOKUP(A11&amp;" "&amp;B11,NFFT_M8!$A$2:$D$100,4,FALSE))," ",_xlfn.IFNA(VLOOKUP(A11&amp;" "&amp;B11,NFFT_M8!$A$2:$D$100,4,FALSE)," "))</f>
        <v/>
      </c>
    </row>
    <row r="12" spans="1:7" x14ac:dyDescent="0.35">
      <c r="A12" t="s">
        <v>6</v>
      </c>
      <c r="B12">
        <v>2</v>
      </c>
      <c r="C12">
        <f>IF(ISBLANK(VLOOKUP(A12&amp;" "&amp;B12,NFFT_M4!$A$2:$D$100,4,FALSE))," ",_xlfn.IFNA(VLOOKUP(A12&amp;" "&amp;B12,NFFT_M4!$A$2:$D$100,4,FALSE)," "))</f>
        <v>1.6819999999999999</v>
      </c>
      <c r="D12">
        <f>IF(ISBLANK(VLOOKUP(A12&amp;" "&amp;B12,NFFT_M5!$A$2:$D$100,4,FALSE))," ",_xlfn.IFNA(VLOOKUP(A12&amp;" "&amp;B12,NFFT_M5!$A$2:$D$100,4,FALSE)," "))</f>
        <v>2.1589999999999998</v>
      </c>
      <c r="E12">
        <f>IF(ISBLANK(VLOOKUP(A12&amp;" "&amp;B12,NFFT_M6!$A$2:$D$100,4,FALSE))," ",_xlfn.IFNA(VLOOKUP(A12&amp;" "&amp;B12,NFFT_M6!$A$2:$D$100,4,FALSE)," "))</f>
        <v>2.3220000000000001</v>
      </c>
      <c r="F12" t="str">
        <f>IF(ISBLANK(VLOOKUP(A12&amp;" "&amp;B12,NFFT_M7!$A$2:$D$100,4,FALSE))," ",_xlfn.IFNA(VLOOKUP(A12&amp;" "&amp;B12,NFFT_M7!$A$2:$D$100,4,FALSE)," "))</f>
        <v xml:space="preserve"> </v>
      </c>
      <c r="G12" t="str">
        <f>IF(ISBLANK(VLOOKUP(A12&amp;" "&amp;B12,NFFT_M8!$A$2:$D$100,4,FALSE))," ",_xlfn.IFNA(VLOOKUP(A12&amp;" "&amp;B12,NFFT_M8!$A$2:$D$100,4,FALSE)," "))</f>
        <v xml:space="preserve"> </v>
      </c>
    </row>
    <row r="13" spans="1:7" x14ac:dyDescent="0.35">
      <c r="A13" t="s">
        <v>6</v>
      </c>
      <c r="B13">
        <v>3</v>
      </c>
      <c r="C13">
        <f>IF(ISBLANK(VLOOKUP(A13&amp;" "&amp;B13,NFFT_M4!$A$2:$D$100,4,FALSE))," ",_xlfn.IFNA(VLOOKUP(A13&amp;" "&amp;B13,NFFT_M4!$A$2:$D$100,4,FALSE)," "))</f>
        <v>1.746</v>
      </c>
      <c r="D13">
        <f>IF(ISBLANK(VLOOKUP(A13&amp;" "&amp;B13,NFFT_M5!$A$2:$D$100,4,FALSE))," ",_xlfn.IFNA(VLOOKUP(A13&amp;" "&amp;B13,NFFT_M5!$A$2:$D$100,4,FALSE)," "))</f>
        <v>2.673</v>
      </c>
      <c r="E13">
        <f>IF(ISBLANK(VLOOKUP(A13&amp;" "&amp;B13,NFFT_M6!$A$2:$D$100,4,FALSE))," ",_xlfn.IFNA(VLOOKUP(A13&amp;" "&amp;B13,NFFT_M6!$A$2:$D$100,4,FALSE)," "))</f>
        <v>4.532</v>
      </c>
      <c r="F13" t="str">
        <f>IF(ISBLANK(VLOOKUP(A13&amp;" "&amp;B13,NFFT_M7!$A$2:$D$100,4,FALSE))," ",_xlfn.IFNA(VLOOKUP(A13&amp;" "&amp;B13,NFFT_M7!$A$2:$D$100,4,FALSE)," "))</f>
        <v xml:space="preserve"> </v>
      </c>
      <c r="G13" t="str">
        <f>IF(ISBLANK(VLOOKUP(A13&amp;" "&amp;B13,NFFT_M8!$A$2:$D$100,4,FALSE))," ",_xlfn.IFNA(VLOOKUP(A13&amp;" "&amp;B13,NFFT_M8!$A$2:$D$100,4,FALSE)," "))</f>
        <v xml:space="preserve"> </v>
      </c>
    </row>
    <row r="14" spans="1:7" x14ac:dyDescent="0.35">
      <c r="A14" t="s">
        <v>7</v>
      </c>
      <c r="B14">
        <v>1</v>
      </c>
      <c r="C14">
        <f>IF(ISBLANK(VLOOKUP(A14&amp;" "&amp;B14,NFFT_M4!$A$2:$D$100,4,FALSE))," ",_xlfn.IFNA(VLOOKUP(A14&amp;" "&amp;B14,NFFT_M4!$A$2:$D$100,4,FALSE)," "))</f>
        <v>2.4809999999999999</v>
      </c>
      <c r="D14">
        <f>IF(ISBLANK(VLOOKUP(A14&amp;" "&amp;B14,NFFT_M5!$A$2:$D$100,4,FALSE))," ",_xlfn.IFNA(VLOOKUP(A14&amp;" "&amp;B14,NFFT_M5!$A$2:$D$100,4,FALSE)," "))</f>
        <v>2.4809999999999999</v>
      </c>
      <c r="E14">
        <f>IF(ISBLANK(VLOOKUP(A14&amp;" "&amp;B14,NFFT_M6!$A$2:$D$100,4,FALSE))," ",_xlfn.IFNA(VLOOKUP(A14&amp;" "&amp;B14,NFFT_M6!$A$2:$D$100,4,FALSE)," "))</f>
        <v>3.0139999999999998</v>
      </c>
      <c r="F14">
        <f>IF(ISBLANK(VLOOKUP(A14&amp;" "&amp;B14,NFFT_M7!$A$2:$D$100,4,FALSE))," ",_xlfn.IFNA(VLOOKUP(A14&amp;" "&amp;B14,NFFT_M7!$A$2:$D$100,4,FALSE)," "))</f>
        <v>8.5920000000000005</v>
      </c>
      <c r="G14" t="str">
        <f>IF(ISBLANK(VLOOKUP(A14&amp;" "&amp;B14,NFFT_M8!$A$2:$D$100,4,FALSE))," ",_xlfn.IFNA(VLOOKUP(A14&amp;" "&amp;B14,NFFT_M8!$A$2:$D$100,4,FALSE)," "))</f>
        <v/>
      </c>
    </row>
    <row r="15" spans="1:7" x14ac:dyDescent="0.35">
      <c r="A15" t="s">
        <v>7</v>
      </c>
      <c r="B15">
        <v>2</v>
      </c>
      <c r="C15">
        <f>IF(ISBLANK(VLOOKUP(A15&amp;" "&amp;B15,NFFT_M4!$A$2:$D$100,4,FALSE))," ",_xlfn.IFNA(VLOOKUP(A15&amp;" "&amp;B15,NFFT_M4!$A$2:$D$100,4,FALSE)," "))</f>
        <v>2.4329999999999998</v>
      </c>
      <c r="D15">
        <f>IF(ISBLANK(VLOOKUP(A15&amp;" "&amp;B15,NFFT_M5!$A$2:$D$100,4,FALSE))," ",_xlfn.IFNA(VLOOKUP(A15&amp;" "&amp;B15,NFFT_M5!$A$2:$D$100,4,FALSE)," "))</f>
        <v>3.0910000000000002</v>
      </c>
      <c r="E15">
        <f>IF(ISBLANK(VLOOKUP(A15&amp;" "&amp;B15,NFFT_M6!$A$2:$D$100,4,FALSE))," ",_xlfn.IFNA(VLOOKUP(A15&amp;" "&amp;B15,NFFT_M6!$A$2:$D$100,4,FALSE)," "))</f>
        <v>2.335</v>
      </c>
      <c r="F15" t="str">
        <f>IF(ISBLANK(VLOOKUP(A15&amp;" "&amp;B15,NFFT_M7!$A$2:$D$100,4,FALSE))," ",_xlfn.IFNA(VLOOKUP(A15&amp;" "&amp;B15,NFFT_M7!$A$2:$D$100,4,FALSE)," "))</f>
        <v xml:space="preserve"> </v>
      </c>
      <c r="G15" t="str">
        <f>IF(ISBLANK(VLOOKUP(A15&amp;" "&amp;B15,NFFT_M8!$A$2:$D$100,4,FALSE))," ",_xlfn.IFNA(VLOOKUP(A15&amp;" "&amp;B15,NFFT_M8!$A$2:$D$100,4,FALSE)," "))</f>
        <v xml:space="preserve"> </v>
      </c>
    </row>
    <row r="16" spans="1:7" x14ac:dyDescent="0.35">
      <c r="A16" t="s">
        <v>7</v>
      </c>
      <c r="B16">
        <v>3</v>
      </c>
      <c r="C16">
        <f>IF(ISBLANK(VLOOKUP(A16&amp;" "&amp;B16,NFFT_M4!$A$2:$D$100,4,FALSE))," ",_xlfn.IFNA(VLOOKUP(A16&amp;" "&amp;B16,NFFT_M4!$A$2:$D$100,4,FALSE)," "))</f>
        <v>1.85</v>
      </c>
      <c r="D16">
        <f>IF(ISBLANK(VLOOKUP(A16&amp;" "&amp;B16,NFFT_M5!$A$2:$D$100,4,FALSE))," ",_xlfn.IFNA(VLOOKUP(A16&amp;" "&amp;B16,NFFT_M5!$A$2:$D$100,4,FALSE)," "))</f>
        <v>1.879</v>
      </c>
      <c r="E16" t="str">
        <f>IF(ISBLANK(VLOOKUP(A16&amp;" "&amp;B16,NFFT_M6!$A$2:$D$100,4,FALSE))," ",_xlfn.IFNA(VLOOKUP(A16&amp;" "&amp;B16,NFFT_M6!$A$2:$D$100,4,FALSE)," "))</f>
        <v xml:space="preserve"> </v>
      </c>
      <c r="F16" t="str">
        <f>IF(ISBLANK(VLOOKUP(A16&amp;" "&amp;B16,NFFT_M7!$A$2:$D$100,4,FALSE))," ",_xlfn.IFNA(VLOOKUP(A16&amp;" "&amp;B16,NFFT_M7!$A$2:$D$100,4,FALSE)," "))</f>
        <v xml:space="preserve"> </v>
      </c>
      <c r="G16" t="str">
        <f>IF(ISBLANK(VLOOKUP(A16&amp;" "&amp;B16,NFFT_M8!$A$2:$D$100,4,FALSE))," ",_xlfn.IFNA(VLOOKUP(A16&amp;" "&amp;B16,NFFT_M8!$A$2:$D$100,4,FALSE)," "))</f>
        <v xml:space="preserve"> </v>
      </c>
    </row>
    <row r="17" spans="1:7" x14ac:dyDescent="0.35">
      <c r="A17" t="s">
        <v>8</v>
      </c>
      <c r="B17">
        <v>1</v>
      </c>
      <c r="C17">
        <f>IF(ISBLANK(VLOOKUP(A17&amp;" "&amp;B17,NFFT_M4!$A$2:$D$100,4,FALSE))," ",_xlfn.IFNA(VLOOKUP(A17&amp;" "&amp;B17,NFFT_M4!$A$2:$D$100,4,FALSE)," "))</f>
        <v>2.8290000000000002</v>
      </c>
      <c r="D17">
        <f>IF(ISBLANK(VLOOKUP(A17&amp;" "&amp;B17,NFFT_M5!$A$2:$D$100,4,FALSE))," ",_xlfn.IFNA(VLOOKUP(A17&amp;" "&amp;B17,NFFT_M5!$A$2:$D$100,4,FALSE)," "))</f>
        <v>2.621</v>
      </c>
      <c r="E17">
        <f>IF(ISBLANK(VLOOKUP(A17&amp;" "&amp;B17,NFFT_M6!$A$2:$D$100,4,FALSE))," ",_xlfn.IFNA(VLOOKUP(A17&amp;" "&amp;B17,NFFT_M6!$A$2:$D$100,4,FALSE)," "))</f>
        <v>2.8479999999999999</v>
      </c>
      <c r="F17" t="str">
        <f>IF(ISBLANK(VLOOKUP(A17&amp;" "&amp;B17,NFFT_M7!$A$2:$D$100,4,FALSE))," ",_xlfn.IFNA(VLOOKUP(A17&amp;" "&amp;B17,NFFT_M7!$A$2:$D$100,4,FALSE)," "))</f>
        <v xml:space="preserve"> </v>
      </c>
      <c r="G17" t="str">
        <f>IF(ISBLANK(VLOOKUP(A17&amp;" "&amp;B17,NFFT_M8!$A$2:$D$100,4,FALSE))," ",_xlfn.IFNA(VLOOKUP(A17&amp;" "&amp;B17,NFFT_M8!$A$2:$D$100,4,FALSE)," "))</f>
        <v/>
      </c>
    </row>
    <row r="18" spans="1:7" x14ac:dyDescent="0.35">
      <c r="A18" t="s">
        <v>8</v>
      </c>
      <c r="B18">
        <v>2</v>
      </c>
      <c r="C18">
        <f>IF(ISBLANK(VLOOKUP(A18&amp;" "&amp;B18,NFFT_M4!$A$2:$D$100,4,FALSE))," ",_xlfn.IFNA(VLOOKUP(A18&amp;" "&amp;B18,NFFT_M4!$A$2:$D$100,4,FALSE)," "))</f>
        <v>1.7569999999999999</v>
      </c>
      <c r="D18" t="str">
        <f>IF(ISBLANK(VLOOKUP(A18&amp;" "&amp;B18,NFFT_M5!$A$2:$D$100,4,FALSE))," ",_xlfn.IFNA(VLOOKUP(A18&amp;" "&amp;B18,NFFT_M5!$A$2:$D$100,4,FALSE)," "))</f>
        <v xml:space="preserve"> </v>
      </c>
      <c r="E18" t="str">
        <f>IF(ISBLANK(VLOOKUP(A18&amp;" "&amp;B18,NFFT_M6!$A$2:$D$100,4,FALSE))," ",_xlfn.IFNA(VLOOKUP(A18&amp;" "&amp;B18,NFFT_M6!$A$2:$D$100,4,FALSE)," "))</f>
        <v xml:space="preserve"> </v>
      </c>
      <c r="F18" t="str">
        <f>IF(ISBLANK(VLOOKUP(A18&amp;" "&amp;B18,NFFT_M7!$A$2:$D$100,4,FALSE))," ",_xlfn.IFNA(VLOOKUP(A18&amp;" "&amp;B18,NFFT_M7!$A$2:$D$100,4,FALSE)," "))</f>
        <v xml:space="preserve"> </v>
      </c>
      <c r="G18" t="str">
        <f>IF(ISBLANK(VLOOKUP(A18&amp;" "&amp;B18,NFFT_M8!$A$2:$D$100,4,FALSE))," ",_xlfn.IFNA(VLOOKUP(A18&amp;" "&amp;B18,NFFT_M8!$A$2:$D$100,4,FALSE)," "))</f>
        <v xml:space="preserve"> </v>
      </c>
    </row>
    <row r="19" spans="1:7" x14ac:dyDescent="0.35">
      <c r="A19" t="s">
        <v>8</v>
      </c>
      <c r="B19">
        <v>3</v>
      </c>
      <c r="C19">
        <f>IF(ISBLANK(VLOOKUP(A19&amp;" "&amp;B19,NFFT_M4!$A$2:$D$100,4,FALSE))," ",_xlfn.IFNA(VLOOKUP(A19&amp;" "&amp;B19,NFFT_M4!$A$2:$D$100,4,FALSE)," "))</f>
        <v>2.423</v>
      </c>
      <c r="D19" t="str">
        <f>IF(ISBLANK(VLOOKUP(A19&amp;" "&amp;B19,NFFT_M5!$A$2:$D$100,4,FALSE))," ",_xlfn.IFNA(VLOOKUP(A19&amp;" "&amp;B19,NFFT_M5!$A$2:$D$100,4,FALSE)," "))</f>
        <v xml:space="preserve"> </v>
      </c>
      <c r="E19" t="str">
        <f>IF(ISBLANK(VLOOKUP(A19&amp;" "&amp;B19,NFFT_M6!$A$2:$D$100,4,FALSE))," ",_xlfn.IFNA(VLOOKUP(A19&amp;" "&amp;B19,NFFT_M6!$A$2:$D$100,4,FALSE)," "))</f>
        <v xml:space="preserve"> </v>
      </c>
      <c r="F19" t="str">
        <f>IF(ISBLANK(VLOOKUP(A19&amp;" "&amp;B19,NFFT_M7!$A$2:$D$100,4,FALSE))," ",_xlfn.IFNA(VLOOKUP(A19&amp;" "&amp;B19,NFFT_M7!$A$2:$D$100,4,FALSE)," "))</f>
        <v xml:space="preserve"> </v>
      </c>
      <c r="G19" t="str">
        <f>IF(ISBLANK(VLOOKUP(A19&amp;" "&amp;B19,NFFT_M8!$A$2:$D$100,4,FALSE))," ",_xlfn.IFNA(VLOOKUP(A19&amp;" "&amp;B19,NFFT_M8!$A$2:$D$100,4,FALSE)," "))</f>
        <v xml:space="preserve"> </v>
      </c>
    </row>
    <row r="20" spans="1:7" x14ac:dyDescent="0.35">
      <c r="A20" t="s">
        <v>9</v>
      </c>
      <c r="B20">
        <v>1</v>
      </c>
      <c r="C20">
        <f>IF(ISBLANK(VLOOKUP(A20&amp;" "&amp;B20,NFFT_M4!$A$2:$D$100,4,FALSE))," ",_xlfn.IFNA(VLOOKUP(A20&amp;" "&amp;B20,NFFT_M4!$A$2:$D$100,4,FALSE)," "))</f>
        <v>2.0710000000000002</v>
      </c>
      <c r="D20">
        <f>IF(ISBLANK(VLOOKUP(A20&amp;" "&amp;B20,NFFT_M5!$A$2:$D$100,4,FALSE))," ",_xlfn.IFNA(VLOOKUP(A20&amp;" "&amp;B20,NFFT_M5!$A$2:$D$100,4,FALSE)," "))</f>
        <v>2.0710000000000002</v>
      </c>
      <c r="E20">
        <f>IF(ISBLANK(VLOOKUP(A20&amp;" "&amp;B20,NFFT_M6!$A$2:$D$100,4,FALSE))," ",_xlfn.IFNA(VLOOKUP(A20&amp;" "&amp;B20,NFFT_M6!$A$2:$D$100,4,FALSE)," "))</f>
        <v>2.78</v>
      </c>
      <c r="F20" t="str">
        <f>IF(ISBLANK(VLOOKUP(A20&amp;" "&amp;B20,NFFT_M7!$A$2:$D$100,4,FALSE))," ",_xlfn.IFNA(VLOOKUP(A20&amp;" "&amp;B20,NFFT_M7!$A$2:$D$100,4,FALSE)," "))</f>
        <v xml:space="preserve"> </v>
      </c>
      <c r="G20" t="str">
        <f>IF(ISBLANK(VLOOKUP(A20&amp;" "&amp;B20,NFFT_M8!$A$2:$D$100,4,FALSE))," ",_xlfn.IFNA(VLOOKUP(A20&amp;" "&amp;B20,NFFT_M8!$A$2:$D$100,4,FALSE)," "))</f>
        <v/>
      </c>
    </row>
    <row r="21" spans="1:7" x14ac:dyDescent="0.35">
      <c r="A21" t="s">
        <v>9</v>
      </c>
      <c r="B21">
        <v>2</v>
      </c>
      <c r="C21" t="str">
        <f>IF(ISBLANK(VLOOKUP(A21&amp;" "&amp;B21,NFFT_M4!$A$2:$D$100,4,FALSE))," ",_xlfn.IFNA(VLOOKUP(A21&amp;" "&amp;B21,NFFT_M4!$A$2:$D$100,4,FALSE)," "))</f>
        <v xml:space="preserve"> </v>
      </c>
      <c r="D21" t="str">
        <f>IF(ISBLANK(VLOOKUP(A21&amp;" "&amp;B21,NFFT_M5!$A$2:$D$100,4,FALSE))," ",_xlfn.IFNA(VLOOKUP(A21&amp;" "&amp;B21,NFFT_M5!$A$2:$D$100,4,FALSE)," "))</f>
        <v xml:space="preserve"> </v>
      </c>
      <c r="E21" t="str">
        <f>IF(ISBLANK(VLOOKUP(A21&amp;" "&amp;B21,NFFT_M6!$A$2:$D$100,4,FALSE))," ",_xlfn.IFNA(VLOOKUP(A21&amp;" "&amp;B21,NFFT_M6!$A$2:$D$100,4,FALSE)," "))</f>
        <v xml:space="preserve"> </v>
      </c>
      <c r="F21" t="str">
        <f>IF(ISBLANK(VLOOKUP(A21&amp;" "&amp;B21,NFFT_M7!$A$2:$D$100,4,FALSE))," ",_xlfn.IFNA(VLOOKUP(A21&amp;" "&amp;B21,NFFT_M7!$A$2:$D$100,4,FALSE)," "))</f>
        <v xml:space="preserve"> </v>
      </c>
      <c r="G21" t="str">
        <f>IF(ISBLANK(VLOOKUP(A21&amp;" "&amp;B21,NFFT_M8!$A$2:$D$100,4,FALSE))," ",_xlfn.IFNA(VLOOKUP(A21&amp;" "&amp;B21,NFFT_M8!$A$2:$D$100,4,FALSE)," "))</f>
        <v xml:space="preserve"> </v>
      </c>
    </row>
    <row r="22" spans="1:7" x14ac:dyDescent="0.35">
      <c r="A22" t="s">
        <v>10</v>
      </c>
      <c r="B22">
        <v>1</v>
      </c>
      <c r="C22">
        <f>IF(ISBLANK(VLOOKUP(A22&amp;" "&amp;B22,NFFT_M4!$A$2:$D$100,4,FALSE))," ",_xlfn.IFNA(VLOOKUP(A22&amp;" "&amp;B22,NFFT_M4!$A$2:$D$100,4,FALSE)," "))</f>
        <v>1.54</v>
      </c>
      <c r="D22">
        <f>IF(ISBLANK(VLOOKUP(A22&amp;" "&amp;B22,NFFT_M5!$A$2:$D$100,4,FALSE))," ",_xlfn.IFNA(VLOOKUP(A22&amp;" "&amp;B22,NFFT_M5!$A$2:$D$100,4,FALSE)," "))</f>
        <v>1.54</v>
      </c>
      <c r="E22">
        <f>IF(ISBLANK(VLOOKUP(A22&amp;" "&amp;B22,NFFT_M6!$A$2:$D$100,4,FALSE))," ",_xlfn.IFNA(VLOOKUP(A22&amp;" "&amp;B22,NFFT_M6!$A$2:$D$100,4,FALSE)," "))</f>
        <v>1.905</v>
      </c>
      <c r="F22">
        <f>IF(ISBLANK(VLOOKUP(A22&amp;" "&amp;B22,NFFT_M7!$A$2:$D$100,4,FALSE))," ",_xlfn.IFNA(VLOOKUP(A22&amp;" "&amp;B22,NFFT_M7!$A$2:$D$100,4,FALSE)," "))</f>
        <v>2.488</v>
      </c>
      <c r="G22" t="str">
        <f>IF(ISBLANK(VLOOKUP(A22&amp;" "&amp;B22,NFFT_M8!$A$2:$D$100,4,FALSE))," ",_xlfn.IFNA(VLOOKUP(A22&amp;" "&amp;B22,NFFT_M8!$A$2:$D$100,4,FALSE)," "))</f>
        <v/>
      </c>
    </row>
    <row r="23" spans="1:7" x14ac:dyDescent="0.35">
      <c r="A23" t="s">
        <v>10</v>
      </c>
      <c r="B23">
        <v>2</v>
      </c>
      <c r="C23">
        <f>IF(ISBLANK(VLOOKUP(A23&amp;" "&amp;B23,NFFT_M4!$A$2:$D$100,4,FALSE))," ",_xlfn.IFNA(VLOOKUP(A23&amp;" "&amp;B23,NFFT_M4!$A$2:$D$100,4,FALSE)," "))</f>
        <v>2.395</v>
      </c>
      <c r="D23" t="str">
        <f>IF(ISBLANK(VLOOKUP(A23&amp;" "&amp;B23,NFFT_M5!$A$2:$D$100,4,FALSE))," ",_xlfn.IFNA(VLOOKUP(A23&amp;" "&amp;B23,NFFT_M5!$A$2:$D$100,4,FALSE)," "))</f>
        <v xml:space="preserve"> </v>
      </c>
      <c r="E23" t="str">
        <f>IF(ISBLANK(VLOOKUP(A23&amp;" "&amp;B23,NFFT_M6!$A$2:$D$100,4,FALSE))," ",_xlfn.IFNA(VLOOKUP(A23&amp;" "&amp;B23,NFFT_M6!$A$2:$D$100,4,FALSE)," "))</f>
        <v xml:space="preserve"> </v>
      </c>
      <c r="F23" t="str">
        <f>IF(ISBLANK(VLOOKUP(A23&amp;" "&amp;B23,NFFT_M7!$A$2:$D$100,4,FALSE))," ",_xlfn.IFNA(VLOOKUP(A23&amp;" "&amp;B23,NFFT_M7!$A$2:$D$100,4,FALSE)," "))</f>
        <v xml:space="preserve"> </v>
      </c>
      <c r="G23" t="str">
        <f>IF(ISBLANK(VLOOKUP(A23&amp;" "&amp;B23,NFFT_M8!$A$2:$D$100,4,FALSE))," ",_xlfn.IFNA(VLOOKUP(A23&amp;" "&amp;B23,NFFT_M8!$A$2:$D$100,4,FALSE)," "))</f>
        <v xml:space="preserve"> </v>
      </c>
    </row>
    <row r="24" spans="1:7" x14ac:dyDescent="0.35">
      <c r="A24" t="s">
        <v>10</v>
      </c>
      <c r="B24">
        <v>3</v>
      </c>
      <c r="C24">
        <f>IF(ISBLANK(VLOOKUP(A24&amp;" "&amp;B24,NFFT_M4!$A$2:$D$100,4,FALSE))," ",_xlfn.IFNA(VLOOKUP(A24&amp;" "&amp;B24,NFFT_M4!$A$2:$D$100,4,FALSE)," "))</f>
        <v>2.472</v>
      </c>
      <c r="D24">
        <f>IF(ISBLANK(VLOOKUP(A24&amp;" "&amp;B24,NFFT_M5!$A$2:$D$100,4,FALSE))," ",_xlfn.IFNA(VLOOKUP(A24&amp;" "&amp;B24,NFFT_M5!$A$2:$D$100,4,FALSE)," "))</f>
        <v>4.5460000000000003</v>
      </c>
      <c r="E24" t="str">
        <f>IF(ISBLANK(VLOOKUP(A24&amp;" "&amp;B24,NFFT_M6!$A$2:$D$100,4,FALSE))," ",_xlfn.IFNA(VLOOKUP(A24&amp;" "&amp;B24,NFFT_M6!$A$2:$D$100,4,FALSE)," "))</f>
        <v xml:space="preserve"> </v>
      </c>
      <c r="F24" t="str">
        <f>IF(ISBLANK(VLOOKUP(A24&amp;" "&amp;B24,NFFT_M7!$A$2:$D$100,4,FALSE))," ",_xlfn.IFNA(VLOOKUP(A24&amp;" "&amp;B24,NFFT_M7!$A$2:$D$100,4,FALSE)," "))</f>
        <v xml:space="preserve"> </v>
      </c>
      <c r="G24" t="str">
        <f>IF(ISBLANK(VLOOKUP(A24&amp;" "&amp;B24,NFFT_M8!$A$2:$D$100,4,FALSE))," ",_xlfn.IFNA(VLOOKUP(A24&amp;" "&amp;B24,NFFT_M8!$A$2:$D$100,4,FALSE)," "))</f>
        <v xml:space="preserve"> </v>
      </c>
    </row>
    <row r="25" spans="1:7" x14ac:dyDescent="0.35">
      <c r="A25" t="s">
        <v>11</v>
      </c>
      <c r="B25">
        <v>1</v>
      </c>
      <c r="C25">
        <f>IF(ISBLANK(VLOOKUP(A25&amp;" "&amp;B25,NFFT_M4!$A$2:$D$100,4,FALSE))," ",_xlfn.IFNA(VLOOKUP(A25&amp;" "&amp;B25,NFFT_M4!$A$2:$D$100,4,FALSE)," "))</f>
        <v>2.6219999999999999</v>
      </c>
      <c r="D25">
        <f>IF(ISBLANK(VLOOKUP(A25&amp;" "&amp;B25,NFFT_M5!$A$2:$D$100,4,FALSE))," ",_xlfn.IFNA(VLOOKUP(A25&amp;" "&amp;B25,NFFT_M5!$A$2:$D$100,4,FALSE)," "))</f>
        <v>2.6219999999999999</v>
      </c>
      <c r="E25">
        <f>IF(ISBLANK(VLOOKUP(A25&amp;" "&amp;B25,NFFT_M6!$A$2:$D$100,4,FALSE))," ",_xlfn.IFNA(VLOOKUP(A25&amp;" "&amp;B25,NFFT_M6!$A$2:$D$100,4,FALSE)," "))</f>
        <v>6.6829999999999998</v>
      </c>
      <c r="F25" t="str">
        <f>IF(ISBLANK(VLOOKUP(A25&amp;" "&amp;B25,NFFT_M7!$A$2:$D$100,4,FALSE))," ",_xlfn.IFNA(VLOOKUP(A25&amp;" "&amp;B25,NFFT_M7!$A$2:$D$100,4,FALSE)," "))</f>
        <v xml:space="preserve"> </v>
      </c>
      <c r="G25" t="str">
        <f>IF(ISBLANK(VLOOKUP(A25&amp;" "&amp;B25,NFFT_M8!$A$2:$D$100,4,FALSE))," ",_xlfn.IFNA(VLOOKUP(A25&amp;" "&amp;B25,NFFT_M8!$A$2:$D$100,4,FALSE)," "))</f>
        <v/>
      </c>
    </row>
    <row r="26" spans="1:7" x14ac:dyDescent="0.35">
      <c r="A26" t="s">
        <v>11</v>
      </c>
      <c r="B26">
        <v>2</v>
      </c>
      <c r="C26">
        <f>IF(ISBLANK(VLOOKUP(A26&amp;" "&amp;B26,NFFT_M4!$A$2:$D$100,4,FALSE))," ",_xlfn.IFNA(VLOOKUP(A26&amp;" "&amp;B26,NFFT_M4!$A$2:$D$100,4,FALSE)," "))</f>
        <v>2.0169999999999999</v>
      </c>
      <c r="D26">
        <f>IF(ISBLANK(VLOOKUP(A26&amp;" "&amp;B26,NFFT_M5!$A$2:$D$100,4,FALSE))," ",_xlfn.IFNA(VLOOKUP(A26&amp;" "&amp;B26,NFFT_M5!$A$2:$D$100,4,FALSE)," "))</f>
        <v>1.9510000000000001</v>
      </c>
      <c r="E26">
        <f>IF(ISBLANK(VLOOKUP(A26&amp;" "&amp;B26,NFFT_M6!$A$2:$D$100,4,FALSE))," ",_xlfn.IFNA(VLOOKUP(A26&amp;" "&amp;B26,NFFT_M6!$A$2:$D$100,4,FALSE)," "))</f>
        <v>3.681</v>
      </c>
      <c r="F26" t="str">
        <f>IF(ISBLANK(VLOOKUP(A26&amp;" "&amp;B26,NFFT_M7!$A$2:$D$100,4,FALSE))," ",_xlfn.IFNA(VLOOKUP(A26&amp;" "&amp;B26,NFFT_M7!$A$2:$D$100,4,FALSE)," "))</f>
        <v xml:space="preserve"> </v>
      </c>
      <c r="G26" t="str">
        <f>IF(ISBLANK(VLOOKUP(A26&amp;" "&amp;B26,NFFT_M8!$A$2:$D$100,4,FALSE))," ",_xlfn.IFNA(VLOOKUP(A26&amp;" "&amp;B26,NFFT_M8!$A$2:$D$100,4,FALSE)," "))</f>
        <v/>
      </c>
    </row>
    <row r="27" spans="1:7" x14ac:dyDescent="0.35">
      <c r="A27" t="s">
        <v>11</v>
      </c>
      <c r="B27">
        <v>3</v>
      </c>
      <c r="C27">
        <f>IF(ISBLANK(VLOOKUP(A27&amp;" "&amp;B27,NFFT_M4!$A$2:$D$100,4,FALSE))," ",_xlfn.IFNA(VLOOKUP(A27&amp;" "&amp;B27,NFFT_M4!$A$2:$D$100,4,FALSE)," "))</f>
        <v>2.024</v>
      </c>
      <c r="D27">
        <f>IF(ISBLANK(VLOOKUP(A27&amp;" "&amp;B27,NFFT_M5!$A$2:$D$100,4,FALSE))," ",_xlfn.IFNA(VLOOKUP(A27&amp;" "&amp;B27,NFFT_M5!$A$2:$D$100,4,FALSE)," "))</f>
        <v>2.2410000000000001</v>
      </c>
      <c r="E27" t="str">
        <f>IF(ISBLANK(VLOOKUP(A27&amp;" "&amp;B27,NFFT_M6!$A$2:$D$100,4,FALSE))," ",_xlfn.IFNA(VLOOKUP(A27&amp;" "&amp;B27,NFFT_M6!$A$2:$D$100,4,FALSE)," "))</f>
        <v xml:space="preserve"> </v>
      </c>
      <c r="F27" t="str">
        <f>IF(ISBLANK(VLOOKUP(A27&amp;" "&amp;B27,NFFT_M7!$A$2:$D$100,4,FALSE))," ",_xlfn.IFNA(VLOOKUP(A27&amp;" "&amp;B27,NFFT_M7!$A$2:$D$100,4,FALSE)," "))</f>
        <v xml:space="preserve"> </v>
      </c>
      <c r="G27" t="str">
        <f>IF(ISBLANK(VLOOKUP(A27&amp;" "&amp;B27,NFFT_M8!$A$2:$D$100,4,FALSE))," ",_xlfn.IFNA(VLOOKUP(A27&amp;" "&amp;B27,NFFT_M8!$A$2:$D$100,4,FALSE)," "))</f>
        <v xml:space="preserve"> </v>
      </c>
    </row>
    <row r="28" spans="1:7" x14ac:dyDescent="0.35">
      <c r="A28" t="s">
        <v>12</v>
      </c>
      <c r="B28">
        <v>1</v>
      </c>
      <c r="C28">
        <f>IF(ISBLANK(VLOOKUP(A28&amp;" "&amp;B28,NFFT_M4!$A$2:$D$100,4,FALSE))," ",_xlfn.IFNA(VLOOKUP(A28&amp;" "&amp;B28,NFFT_M4!$A$2:$D$100,4,FALSE)," "))</f>
        <v>2.661</v>
      </c>
      <c r="D28">
        <f>IF(ISBLANK(VLOOKUP(A28&amp;" "&amp;B28,NFFT_M5!$A$2:$D$100,4,FALSE))," ",_xlfn.IFNA(VLOOKUP(A28&amp;" "&amp;B28,NFFT_M5!$A$2:$D$100,4,FALSE)," "))</f>
        <v>2.661</v>
      </c>
      <c r="E28">
        <f>IF(ISBLANK(VLOOKUP(A28&amp;" "&amp;B28,NFFT_M6!$A$2:$D$100,4,FALSE))," ",_xlfn.IFNA(VLOOKUP(A28&amp;" "&amp;B28,NFFT_M6!$A$2:$D$100,4,FALSE)," "))</f>
        <v>4.6059999999999999</v>
      </c>
      <c r="F28" t="str">
        <f>IF(ISBLANK(VLOOKUP(A28&amp;" "&amp;B28,NFFT_M7!$A$2:$D$100,4,FALSE))," ",_xlfn.IFNA(VLOOKUP(A28&amp;" "&amp;B28,NFFT_M7!$A$2:$D$100,4,FALSE)," "))</f>
        <v xml:space="preserve"> </v>
      </c>
      <c r="G28" t="str">
        <f>IF(ISBLANK(VLOOKUP(A28&amp;" "&amp;B28,NFFT_M8!$A$2:$D$100,4,FALSE))," ",_xlfn.IFNA(VLOOKUP(A28&amp;" "&amp;B28,NFFT_M8!$A$2:$D$100,4,FALSE)," "))</f>
        <v/>
      </c>
    </row>
    <row r="29" spans="1:7" x14ac:dyDescent="0.35">
      <c r="A29" t="s">
        <v>12</v>
      </c>
      <c r="B29">
        <v>2</v>
      </c>
      <c r="C29">
        <f>IF(ISBLANK(VLOOKUP(A29&amp;" "&amp;B29,NFFT_M4!$A$2:$D$100,4,FALSE))," ",_xlfn.IFNA(VLOOKUP(A29&amp;" "&amp;B29,NFFT_M4!$A$2:$D$100,4,FALSE)," "))</f>
        <v>2.1179999999999999</v>
      </c>
      <c r="D29">
        <f>IF(ISBLANK(VLOOKUP(A29&amp;" "&amp;B29,NFFT_M5!$A$2:$D$100,4,FALSE))," ",_xlfn.IFNA(VLOOKUP(A29&amp;" "&amp;B29,NFFT_M5!$A$2:$D$100,4,FALSE)," "))</f>
        <v>2.17</v>
      </c>
      <c r="E29">
        <f>IF(ISBLANK(VLOOKUP(A29&amp;" "&amp;B29,NFFT_M6!$A$2:$D$100,4,FALSE))," ",_xlfn.IFNA(VLOOKUP(A29&amp;" "&amp;B29,NFFT_M6!$A$2:$D$100,4,FALSE)," "))</f>
        <v>4.5890000000000004</v>
      </c>
      <c r="F29" t="str">
        <f>IF(ISBLANK(VLOOKUP(A29&amp;" "&amp;B29,NFFT_M7!$A$2:$D$100,4,FALSE))," ",_xlfn.IFNA(VLOOKUP(A29&amp;" "&amp;B29,NFFT_M7!$A$2:$D$100,4,FALSE)," "))</f>
        <v xml:space="preserve"> </v>
      </c>
      <c r="G29" t="str">
        <f>IF(ISBLANK(VLOOKUP(A29&amp;" "&amp;B29,NFFT_M8!$A$2:$D$100,4,FALSE))," ",_xlfn.IFNA(VLOOKUP(A29&amp;" "&amp;B29,NFFT_M8!$A$2:$D$100,4,FALSE)," "))</f>
        <v/>
      </c>
    </row>
    <row r="30" spans="1:7" x14ac:dyDescent="0.35">
      <c r="A30" t="s">
        <v>12</v>
      </c>
      <c r="B30">
        <v>3</v>
      </c>
      <c r="C30">
        <f>IF(ISBLANK(VLOOKUP(A30&amp;" "&amp;B30,NFFT_M4!$A$2:$D$100,4,FALSE))," ",_xlfn.IFNA(VLOOKUP(A30&amp;" "&amp;B30,NFFT_M4!$A$2:$D$100,4,FALSE)," "))</f>
        <v>2.8290000000000002</v>
      </c>
      <c r="D30">
        <f>IF(ISBLANK(VLOOKUP(A30&amp;" "&amp;B30,NFFT_M5!$A$2:$D$100,4,FALSE))," ",_xlfn.IFNA(VLOOKUP(A30&amp;" "&amp;B30,NFFT_M5!$A$2:$D$100,4,FALSE)," "))</f>
        <v>2.4889999999999999</v>
      </c>
      <c r="E30" t="str">
        <f>IF(ISBLANK(VLOOKUP(A30&amp;" "&amp;B30,NFFT_M6!$A$2:$D$100,4,FALSE))," ",_xlfn.IFNA(VLOOKUP(A30&amp;" "&amp;B30,NFFT_M6!$A$2:$D$100,4,FALSE)," "))</f>
        <v xml:space="preserve"> </v>
      </c>
      <c r="F30" t="str">
        <f>IF(ISBLANK(VLOOKUP(A30&amp;" "&amp;B30,NFFT_M7!$A$2:$D$100,4,FALSE))," ",_xlfn.IFNA(VLOOKUP(A30&amp;" "&amp;B30,NFFT_M7!$A$2:$D$100,4,FALSE)," "))</f>
        <v xml:space="preserve"> </v>
      </c>
      <c r="G30" t="str">
        <f>IF(ISBLANK(VLOOKUP(A30&amp;" "&amp;B30,NFFT_M8!$A$2:$D$100,4,FALSE))," ",_xlfn.IFNA(VLOOKUP(A30&amp;" "&amp;B30,NFFT_M8!$A$2:$D$100,4,FALSE)," "))</f>
        <v xml:space="preserve"> </v>
      </c>
    </row>
    <row r="31" spans="1:7" x14ac:dyDescent="0.35">
      <c r="A31" t="s">
        <v>13</v>
      </c>
      <c r="B31">
        <v>1</v>
      </c>
      <c r="C31">
        <f>IF(ISBLANK(VLOOKUP(A31&amp;" "&amp;B31,NFFT_M4!$A$2:$D$100,4,FALSE))," ",_xlfn.IFNA(VLOOKUP(A31&amp;" "&amp;B31,NFFT_M4!$A$2:$D$100,4,FALSE)," "))</f>
        <v>2.157</v>
      </c>
      <c r="D31">
        <f>IF(ISBLANK(VLOOKUP(A31&amp;" "&amp;B31,NFFT_M5!$A$2:$D$100,4,FALSE))," ",_xlfn.IFNA(VLOOKUP(A31&amp;" "&amp;B31,NFFT_M5!$A$2:$D$100,4,FALSE)," "))</f>
        <v>2.157</v>
      </c>
      <c r="E31">
        <f>IF(ISBLANK(VLOOKUP(A31&amp;" "&amp;B31,NFFT_M6!$A$2:$D$100,4,FALSE))," ",_xlfn.IFNA(VLOOKUP(A31&amp;" "&amp;B31,NFFT_M6!$A$2:$D$100,4,FALSE)," "))</f>
        <v>4.4669999999999996</v>
      </c>
      <c r="F31" t="str">
        <f>IF(ISBLANK(VLOOKUP(A31&amp;" "&amp;B31,NFFT_M7!$A$2:$D$100,4,FALSE))," ",_xlfn.IFNA(VLOOKUP(A31&amp;" "&amp;B31,NFFT_M7!$A$2:$D$100,4,FALSE)," "))</f>
        <v xml:space="preserve"> </v>
      </c>
      <c r="G31" t="str">
        <f>IF(ISBLANK(VLOOKUP(A31&amp;" "&amp;B31,NFFT_M8!$A$2:$D$100,4,FALSE))," ",_xlfn.IFNA(VLOOKUP(A31&amp;" "&amp;B31,NFFT_M8!$A$2:$D$100,4,FALSE)," "))</f>
        <v/>
      </c>
    </row>
    <row r="32" spans="1:7" x14ac:dyDescent="0.35">
      <c r="A32" t="s">
        <v>13</v>
      </c>
      <c r="B32">
        <v>2</v>
      </c>
      <c r="C32">
        <f>IF(ISBLANK(VLOOKUP(A32&amp;" "&amp;B32,NFFT_M4!$A$2:$D$100,4,FALSE))," ",_xlfn.IFNA(VLOOKUP(A32&amp;" "&amp;B32,NFFT_M4!$A$2:$D$100,4,FALSE)," "))</f>
        <v>2.2360000000000002</v>
      </c>
      <c r="D32">
        <f>IF(ISBLANK(VLOOKUP(A32&amp;" "&amp;B32,NFFT_M5!$A$2:$D$100,4,FALSE))," ",_xlfn.IFNA(VLOOKUP(A32&amp;" "&amp;B32,NFFT_M5!$A$2:$D$100,4,FALSE)," "))</f>
        <v>2.0379999999999998</v>
      </c>
      <c r="E32" t="str">
        <f>IF(ISBLANK(VLOOKUP(A32&amp;" "&amp;B32,NFFT_M6!$A$2:$D$100,4,FALSE))," ",_xlfn.IFNA(VLOOKUP(A32&amp;" "&amp;B32,NFFT_M6!$A$2:$D$100,4,FALSE)," "))</f>
        <v xml:space="preserve"> </v>
      </c>
      <c r="F32" t="str">
        <f>IF(ISBLANK(VLOOKUP(A32&amp;" "&amp;B32,NFFT_M7!$A$2:$D$100,4,FALSE))," ",_xlfn.IFNA(VLOOKUP(A32&amp;" "&amp;B32,NFFT_M7!$A$2:$D$100,4,FALSE)," "))</f>
        <v xml:space="preserve"> </v>
      </c>
      <c r="G32" t="str">
        <f>IF(ISBLANK(VLOOKUP(A32&amp;" "&amp;B32,NFFT_M8!$A$2:$D$100,4,FALSE))," ",_xlfn.IFNA(VLOOKUP(A32&amp;" "&amp;B32,NFFT_M8!$A$2:$D$100,4,FALSE)," "))</f>
        <v/>
      </c>
    </row>
    <row r="33" spans="1:7" x14ac:dyDescent="0.35">
      <c r="A33" t="s">
        <v>13</v>
      </c>
      <c r="B33">
        <v>3</v>
      </c>
      <c r="C33">
        <f>IF(ISBLANK(VLOOKUP(A33&amp;" "&amp;B33,NFFT_M4!$A$2:$D$100,4,FALSE))," ",_xlfn.IFNA(VLOOKUP(A33&amp;" "&amp;B33,NFFT_M4!$A$2:$D$100,4,FALSE)," "))</f>
        <v>2.222</v>
      </c>
      <c r="D33">
        <f>IF(ISBLANK(VLOOKUP(A33&amp;" "&amp;B33,NFFT_M5!$A$2:$D$100,4,FALSE))," ",_xlfn.IFNA(VLOOKUP(A33&amp;" "&amp;B33,NFFT_M5!$A$2:$D$100,4,FALSE)," "))</f>
        <v>7.601</v>
      </c>
      <c r="E33" t="str">
        <f>IF(ISBLANK(VLOOKUP(A33&amp;" "&amp;B33,NFFT_M6!$A$2:$D$100,4,FALSE))," ",_xlfn.IFNA(VLOOKUP(A33&amp;" "&amp;B33,NFFT_M6!$A$2:$D$100,4,FALSE)," "))</f>
        <v xml:space="preserve"> </v>
      </c>
      <c r="F33" t="str">
        <f>IF(ISBLANK(VLOOKUP(A33&amp;" "&amp;B33,NFFT_M7!$A$2:$D$100,4,FALSE))," ",_xlfn.IFNA(VLOOKUP(A33&amp;" "&amp;B33,NFFT_M7!$A$2:$D$100,4,FALSE)," "))</f>
        <v xml:space="preserve"> </v>
      </c>
      <c r="G33" t="str">
        <f>IF(ISBLANK(VLOOKUP(A33&amp;" "&amp;B33,NFFT_M8!$A$2:$D$100,4,FALSE))," ",_xlfn.IFNA(VLOOKUP(A33&amp;" "&amp;B33,NFFT_M8!$A$2:$D$100,4,FALSE)," "))</f>
        <v/>
      </c>
    </row>
    <row r="34" spans="1:7" x14ac:dyDescent="0.35">
      <c r="A34" t="s">
        <v>14</v>
      </c>
      <c r="B34">
        <v>1</v>
      </c>
      <c r="C34">
        <f>IF(ISBLANK(VLOOKUP(A34&amp;" "&amp;B34,NFFT_M4!$A$2:$D$100,4,FALSE))," ",_xlfn.IFNA(VLOOKUP(A34&amp;" "&amp;B34,NFFT_M4!$A$2:$D$100,4,FALSE)," "))</f>
        <v>2.2690000000000001</v>
      </c>
      <c r="D34">
        <f>IF(ISBLANK(VLOOKUP(A34&amp;" "&amp;B34,NFFT_M5!$A$2:$D$100,4,FALSE))," ",_xlfn.IFNA(VLOOKUP(A34&amp;" "&amp;B34,NFFT_M5!$A$2:$D$100,4,FALSE)," "))</f>
        <v>2.762</v>
      </c>
      <c r="E34">
        <f>IF(ISBLANK(VLOOKUP(A34&amp;" "&amp;B34,NFFT_M6!$A$2:$D$100,4,FALSE))," ",_xlfn.IFNA(VLOOKUP(A34&amp;" "&amp;B34,NFFT_M6!$A$2:$D$100,4,FALSE)," "))</f>
        <v>2.0910000000000002</v>
      </c>
      <c r="F34" t="str">
        <f>IF(ISBLANK(VLOOKUP(A34&amp;" "&amp;B34,NFFT_M7!$A$2:$D$100,4,FALSE))," ",_xlfn.IFNA(VLOOKUP(A34&amp;" "&amp;B34,NFFT_M7!$A$2:$D$100,4,FALSE)," "))</f>
        <v xml:space="preserve"> </v>
      </c>
      <c r="G34" t="str">
        <f>IF(ISBLANK(VLOOKUP(A34&amp;" "&amp;B34,NFFT_M8!$A$2:$D$100,4,FALSE))," ",_xlfn.IFNA(VLOOKUP(A34&amp;" "&amp;B34,NFFT_M8!$A$2:$D$100,4,FALSE)," "))</f>
        <v/>
      </c>
    </row>
    <row r="35" spans="1:7" x14ac:dyDescent="0.35">
      <c r="A35" t="s">
        <v>15</v>
      </c>
      <c r="B35">
        <v>1</v>
      </c>
      <c r="C35">
        <f>IF(ISBLANK(VLOOKUP(A35&amp;" "&amp;B35,NFFT_M4!$A$2:$D$100,4,FALSE))," ",_xlfn.IFNA(VLOOKUP(A35&amp;" "&amp;B35,NFFT_M4!$A$2:$D$100,4,FALSE)," "))</f>
        <v>2.6869999999999998</v>
      </c>
      <c r="D35">
        <f>IF(ISBLANK(VLOOKUP(A35&amp;" "&amp;B35,NFFT_M5!$A$2:$D$100,4,FALSE))," ",_xlfn.IFNA(VLOOKUP(A35&amp;" "&amp;B35,NFFT_M5!$A$2:$D$100,4,FALSE)," "))</f>
        <v>3.1349999999999998</v>
      </c>
      <c r="E35">
        <f>IF(ISBLANK(VLOOKUP(A35&amp;" "&amp;B35,NFFT_M6!$A$2:$D$100,4,FALSE))," ",_xlfn.IFNA(VLOOKUP(A35&amp;" "&amp;B35,NFFT_M6!$A$2:$D$100,4,FALSE)," "))</f>
        <v>5.3070000000000004</v>
      </c>
      <c r="F35" t="str">
        <f>IF(ISBLANK(VLOOKUP(A35&amp;" "&amp;B35,NFFT_M7!$A$2:$D$100,4,FALSE))," ",_xlfn.IFNA(VLOOKUP(A35&amp;" "&amp;B35,NFFT_M7!$A$2:$D$100,4,FALSE)," "))</f>
        <v xml:space="preserve"> </v>
      </c>
      <c r="G35" t="str">
        <f>IF(ISBLANK(VLOOKUP(A35&amp;" "&amp;B35,NFFT_M8!$A$2:$D$100,4,FALSE))," ",_xlfn.IFNA(VLOOKUP(A35&amp;" "&amp;B35,NFFT_M8!$A$2:$D$100,4,FALSE)," "))</f>
        <v/>
      </c>
    </row>
    <row r="36" spans="1:7" x14ac:dyDescent="0.35">
      <c r="A36" t="s">
        <v>16</v>
      </c>
      <c r="B36">
        <v>1</v>
      </c>
      <c r="C36">
        <f>IF(ISBLANK(VLOOKUP(A36&amp;" "&amp;B36,NFFT_M4!$A$2:$D$100,4,FALSE))," ",_xlfn.IFNA(VLOOKUP(A36&amp;" "&amp;B36,NFFT_M4!$A$2:$D$100,4,FALSE)," "))</f>
        <v>2.6720000000000002</v>
      </c>
      <c r="D36">
        <f>IF(ISBLANK(VLOOKUP(A36&amp;" "&amp;B36,NFFT_M5!$A$2:$D$100,4,FALSE))," ",_xlfn.IFNA(VLOOKUP(A36&amp;" "&amp;B36,NFFT_M5!$A$2:$D$100,4,FALSE)," "))</f>
        <v>2.6720000000000002</v>
      </c>
      <c r="E36">
        <f>IF(ISBLANK(VLOOKUP(A36&amp;" "&amp;B36,NFFT_M6!$A$2:$D$100,4,FALSE))," ",_xlfn.IFNA(VLOOKUP(A36&amp;" "&amp;B36,NFFT_M6!$A$2:$D$100,4,FALSE)," "))</f>
        <v>4.5609999999999999</v>
      </c>
      <c r="F36" t="str">
        <f>IF(ISBLANK(VLOOKUP(A36&amp;" "&amp;B36,NFFT_M7!$A$2:$D$100,4,FALSE))," ",_xlfn.IFNA(VLOOKUP(A36&amp;" "&amp;B36,NFFT_M7!$A$2:$D$100,4,FALSE)," "))</f>
        <v xml:space="preserve"> </v>
      </c>
      <c r="G36" t="str">
        <f>IF(ISBLANK(VLOOKUP(A36&amp;" "&amp;B36,NFFT_M8!$A$2:$D$100,4,FALSE))," ",_xlfn.IFNA(VLOOKUP(A36&amp;" "&amp;B36,NFFT_M8!$A$2:$D$100,4,FALSE)," "))</f>
        <v/>
      </c>
    </row>
    <row r="37" spans="1:7" x14ac:dyDescent="0.35">
      <c r="A37" t="s">
        <v>17</v>
      </c>
      <c r="B37">
        <v>1</v>
      </c>
      <c r="C37">
        <f>IF(ISBLANK(VLOOKUP(A37&amp;" "&amp;B37,NFFT_M4!$A$2:$D$100,4,FALSE))," ",_xlfn.IFNA(VLOOKUP(A37&amp;" "&amp;B37,NFFT_M4!$A$2:$D$100,4,FALSE)," "))</f>
        <v>2.0529999999999999</v>
      </c>
      <c r="D37">
        <f>IF(ISBLANK(VLOOKUP(A37&amp;" "&amp;B37,NFFT_M5!$A$2:$D$100,4,FALSE))," ",_xlfn.IFNA(VLOOKUP(A37&amp;" "&amp;B37,NFFT_M5!$A$2:$D$100,4,FALSE)," "))</f>
        <v>2.2280000000000002</v>
      </c>
      <c r="E37" t="str">
        <f>IF(ISBLANK(VLOOKUP(A37&amp;" "&amp;B37,NFFT_M6!$A$2:$D$100,4,FALSE))," ",_xlfn.IFNA(VLOOKUP(A37&amp;" "&amp;B37,NFFT_M6!$A$2:$D$100,4,FALSE)," "))</f>
        <v xml:space="preserve"> </v>
      </c>
      <c r="F37" t="str">
        <f>IF(ISBLANK(VLOOKUP(A37&amp;" "&amp;B37,NFFT_M7!$A$2:$D$100,4,FALSE))," ",_xlfn.IFNA(VLOOKUP(A37&amp;" "&amp;B37,NFFT_M7!$A$2:$D$100,4,FALSE)," "))</f>
        <v xml:space="preserve"> </v>
      </c>
      <c r="G37" t="str">
        <f>IF(ISBLANK(VLOOKUP(A37&amp;" "&amp;B37,NFFT_M8!$A$2:$D$100,4,FALSE))," ",_xlfn.IFNA(VLOOKUP(A37&amp;" "&amp;B37,NFFT_M8!$A$2:$D$100,4,FALSE)," "))</f>
        <v/>
      </c>
    </row>
    <row r="38" spans="1:7" x14ac:dyDescent="0.35">
      <c r="A38" t="s">
        <v>17</v>
      </c>
      <c r="B38">
        <v>2</v>
      </c>
      <c r="C38" t="str">
        <f>IF(ISBLANK(VLOOKUP(A38&amp;" "&amp;B38,NFFT_M4!$A$2:$D$100,4,FALSE))," ",_xlfn.IFNA(VLOOKUP(A38&amp;" "&amp;B38,NFFT_M4!$A$2:$D$100,4,FALSE)," "))</f>
        <v xml:space="preserve"> </v>
      </c>
      <c r="D38" t="str">
        <f>IF(ISBLANK(VLOOKUP(A38&amp;" "&amp;B38,NFFT_M5!$A$2:$D$100,4,FALSE))," ",_xlfn.IFNA(VLOOKUP(A38&amp;" "&amp;B38,NFFT_M5!$A$2:$D$100,4,FALSE)," "))</f>
        <v xml:space="preserve"> </v>
      </c>
      <c r="E38" t="str">
        <f>IF(ISBLANK(VLOOKUP(A38&amp;" "&amp;B38,NFFT_M6!$A$2:$D$100,4,FALSE))," ",_xlfn.IFNA(VLOOKUP(A38&amp;" "&amp;B38,NFFT_M6!$A$2:$D$100,4,FALSE)," "))</f>
        <v xml:space="preserve"> </v>
      </c>
      <c r="F38" t="str">
        <f>IF(ISBLANK(VLOOKUP(A38&amp;" "&amp;B38,NFFT_M7!$A$2:$D$100,4,FALSE))," ",_xlfn.IFNA(VLOOKUP(A38&amp;" "&amp;B38,NFFT_M7!$A$2:$D$100,4,FALSE)," "))</f>
        <v xml:space="preserve"> </v>
      </c>
      <c r="G38" t="str">
        <f>IF(ISBLANK(VLOOKUP(A38&amp;" "&amp;B38,NFFT_M8!$A$2:$D$100,4,FALSE))," ",_xlfn.IFNA(VLOOKUP(A38&amp;" "&amp;B38,NFFT_M8!$A$2:$D$100,4,FALSE)," "))</f>
        <v xml:space="preserve"> </v>
      </c>
    </row>
    <row r="39" spans="1:7" x14ac:dyDescent="0.35">
      <c r="A39" t="s">
        <v>18</v>
      </c>
      <c r="B39">
        <v>1</v>
      </c>
      <c r="C39">
        <f>IF(ISBLANK(VLOOKUP(A39&amp;" "&amp;B39,NFFT_M4!$A$2:$D$100,4,FALSE))," ",_xlfn.IFNA(VLOOKUP(A39&amp;" "&amp;B39,NFFT_M4!$A$2:$D$100,4,FALSE)," "))</f>
        <v>1.8919999999999999</v>
      </c>
      <c r="D39">
        <f>IF(ISBLANK(VLOOKUP(A39&amp;" "&amp;B39,NFFT_M5!$A$2:$D$100,4,FALSE))," ",_xlfn.IFNA(VLOOKUP(A39&amp;" "&amp;B39,NFFT_M5!$A$2:$D$100,4,FALSE)," "))</f>
        <v>1.8919999999999999</v>
      </c>
      <c r="E39">
        <f>IF(ISBLANK(VLOOKUP(A39&amp;" "&amp;B39,NFFT_M6!$A$2:$D$100,4,FALSE))," ",_xlfn.IFNA(VLOOKUP(A39&amp;" "&amp;B39,NFFT_M6!$A$2:$D$100,4,FALSE)," "))</f>
        <v>2.9830000000000001</v>
      </c>
      <c r="F39">
        <f>IF(ISBLANK(VLOOKUP(A39&amp;" "&amp;B39,NFFT_M7!$A$2:$D$100,4,FALSE))," ",_xlfn.IFNA(VLOOKUP(A39&amp;" "&amp;B39,NFFT_M7!$A$2:$D$100,4,FALSE)," "))</f>
        <v>6.6230000000000002</v>
      </c>
      <c r="G39" t="str">
        <f>IF(ISBLANK(VLOOKUP(A39&amp;" "&amp;B39,NFFT_M8!$A$2:$D$100,4,FALSE))," ",_xlfn.IFNA(VLOOKUP(A39&amp;" "&amp;B39,NFFT_M8!$A$2:$D$100,4,FALSE)," "))</f>
        <v/>
      </c>
    </row>
    <row r="40" spans="1:7" x14ac:dyDescent="0.35">
      <c r="A40" t="s">
        <v>18</v>
      </c>
      <c r="B40">
        <v>2</v>
      </c>
      <c r="C40">
        <f>IF(ISBLANK(VLOOKUP(A40&amp;" "&amp;B40,NFFT_M4!$A$2:$D$100,4,FALSE))," ",_xlfn.IFNA(VLOOKUP(A40&amp;" "&amp;B40,NFFT_M4!$A$2:$D$100,4,FALSE)," "))</f>
        <v>1.748</v>
      </c>
      <c r="D40">
        <f>IF(ISBLANK(VLOOKUP(A40&amp;" "&amp;B40,NFFT_M5!$A$2:$D$100,4,FALSE))," ",_xlfn.IFNA(VLOOKUP(A40&amp;" "&amp;B40,NFFT_M5!$A$2:$D$100,4,FALSE)," "))</f>
        <v>1.748</v>
      </c>
      <c r="E40" t="str">
        <f>IF(ISBLANK(VLOOKUP(A40&amp;" "&amp;B40,NFFT_M6!$A$2:$D$100,4,FALSE))," ",_xlfn.IFNA(VLOOKUP(A40&amp;" "&amp;B40,NFFT_M6!$A$2:$D$100,4,FALSE)," "))</f>
        <v xml:space="preserve"> </v>
      </c>
      <c r="F40" t="str">
        <f>IF(ISBLANK(VLOOKUP(A40&amp;" "&amp;B40,NFFT_M7!$A$2:$D$100,4,FALSE))," ",_xlfn.IFNA(VLOOKUP(A40&amp;" "&amp;B40,NFFT_M7!$A$2:$D$100,4,FALSE)," "))</f>
        <v xml:space="preserve"> </v>
      </c>
      <c r="G40" t="str">
        <f>IF(ISBLANK(VLOOKUP(A40&amp;" "&amp;B40,NFFT_M8!$A$2:$D$100,4,FALSE))," ",_xlfn.IFNA(VLOOKUP(A40&amp;" "&amp;B40,NFFT_M8!$A$2:$D$100,4,FALSE)," "))</f>
        <v xml:space="preserve"> </v>
      </c>
    </row>
    <row r="41" spans="1:7" x14ac:dyDescent="0.35">
      <c r="A41" t="s">
        <v>18</v>
      </c>
      <c r="B41">
        <v>3</v>
      </c>
      <c r="C41">
        <f>IF(ISBLANK(VLOOKUP(A41&amp;" "&amp;B41,NFFT_M4!$A$2:$D$100,4,FALSE))," ",_xlfn.IFNA(VLOOKUP(A41&amp;" "&amp;B41,NFFT_M4!$A$2:$D$100,4,FALSE)," "))</f>
        <v>2.1190000000000002</v>
      </c>
      <c r="D41">
        <f>IF(ISBLANK(VLOOKUP(A41&amp;" "&amp;B41,NFFT_M5!$A$2:$D$100,4,FALSE))," ",_xlfn.IFNA(VLOOKUP(A41&amp;" "&amp;B41,NFFT_M5!$A$2:$D$100,4,FALSE)," "))</f>
        <v>2.1190000000000002</v>
      </c>
      <c r="E41" t="str">
        <f>IF(ISBLANK(VLOOKUP(A41&amp;" "&amp;B41,NFFT_M6!$A$2:$D$100,4,FALSE))," ",_xlfn.IFNA(VLOOKUP(A41&amp;" "&amp;B41,NFFT_M6!$A$2:$D$100,4,FALSE)," "))</f>
        <v xml:space="preserve"> </v>
      </c>
      <c r="F41" t="str">
        <f>IF(ISBLANK(VLOOKUP(A41&amp;" "&amp;B41,NFFT_M7!$A$2:$D$100,4,FALSE))," ",_xlfn.IFNA(VLOOKUP(A41&amp;" "&amp;B41,NFFT_M7!$A$2:$D$100,4,FALSE)," "))</f>
        <v xml:space="preserve"> </v>
      </c>
      <c r="G41" t="str">
        <f>IF(ISBLANK(VLOOKUP(A41&amp;" "&amp;B41,NFFT_M8!$A$2:$D$100,4,FALSE))," ",_xlfn.IFNA(VLOOKUP(A41&amp;" "&amp;B41,NFFT_M8!$A$2:$D$100,4,FALSE)," "))</f>
        <v xml:space="preserve"> </v>
      </c>
    </row>
    <row r="42" spans="1:7" x14ac:dyDescent="0.35">
      <c r="A42" t="s">
        <v>19</v>
      </c>
      <c r="B42">
        <v>1</v>
      </c>
      <c r="C42">
        <f>IF(ISBLANK(VLOOKUP(A42&amp;" "&amp;B42,NFFT_M4!$A$2:$D$100,4,FALSE))," ",_xlfn.IFNA(VLOOKUP(A42&amp;" "&amp;B42,NFFT_M4!$A$2:$D$100,4,FALSE)," "))</f>
        <v>2.2949999999999999</v>
      </c>
      <c r="D42">
        <f>IF(ISBLANK(VLOOKUP(A42&amp;" "&amp;B42,NFFT_M5!$A$2:$D$100,4,FALSE))," ",_xlfn.IFNA(VLOOKUP(A42&amp;" "&amp;B42,NFFT_M5!$A$2:$D$100,4,FALSE)," "))</f>
        <v>2.2949999999999999</v>
      </c>
      <c r="E42">
        <f>IF(ISBLANK(VLOOKUP(A42&amp;" "&amp;B42,NFFT_M6!$A$2:$D$100,4,FALSE))," ",_xlfn.IFNA(VLOOKUP(A42&amp;" "&amp;B42,NFFT_M6!$A$2:$D$100,4,FALSE)," "))</f>
        <v>5.7309999999999999</v>
      </c>
      <c r="F42" t="str">
        <f>IF(ISBLANK(VLOOKUP(A42&amp;" "&amp;B42,NFFT_M7!$A$2:$D$100,4,FALSE))," ",_xlfn.IFNA(VLOOKUP(A42&amp;" "&amp;B42,NFFT_M7!$A$2:$D$100,4,FALSE)," "))</f>
        <v xml:space="preserve"> </v>
      </c>
      <c r="G42" t="str">
        <f>IF(ISBLANK(VLOOKUP(A42&amp;" "&amp;B42,NFFT_M8!$A$2:$D$100,4,FALSE))," ",_xlfn.IFNA(VLOOKUP(A42&amp;" "&amp;B42,NFFT_M8!$A$2:$D$100,4,FALSE)," "))</f>
        <v/>
      </c>
    </row>
    <row r="43" spans="1:7" x14ac:dyDescent="0.35">
      <c r="A43" t="s">
        <v>19</v>
      </c>
      <c r="B43">
        <v>2</v>
      </c>
      <c r="C43">
        <f>IF(ISBLANK(VLOOKUP(A43&amp;" "&amp;B43,NFFT_M4!$A$2:$D$100,4,FALSE))," ",_xlfn.IFNA(VLOOKUP(A43&amp;" "&amp;B43,NFFT_M4!$A$2:$D$100,4,FALSE)," "))</f>
        <v>2.4870000000000001</v>
      </c>
      <c r="D43">
        <f>IF(ISBLANK(VLOOKUP(A43&amp;" "&amp;B43,NFFT_M5!$A$2:$D$100,4,FALSE))," ",_xlfn.IFNA(VLOOKUP(A43&amp;" "&amp;B43,NFFT_M5!$A$2:$D$100,4,FALSE)," "))</f>
        <v>2.4870000000000001</v>
      </c>
      <c r="E43">
        <f>IF(ISBLANK(VLOOKUP(A43&amp;" "&amp;B43,NFFT_M6!$A$2:$D$100,4,FALSE))," ",_xlfn.IFNA(VLOOKUP(A43&amp;" "&amp;B43,NFFT_M6!$A$2:$D$100,4,FALSE)," "))</f>
        <v>0.97799999999999998</v>
      </c>
      <c r="F43" t="str">
        <f>IF(ISBLANK(VLOOKUP(A43&amp;" "&amp;B43,NFFT_M7!$A$2:$D$100,4,FALSE))," ",_xlfn.IFNA(VLOOKUP(A43&amp;" "&amp;B43,NFFT_M7!$A$2:$D$100,4,FALSE)," "))</f>
        <v xml:space="preserve"> </v>
      </c>
      <c r="G43" t="str">
        <f>IF(ISBLANK(VLOOKUP(A43&amp;" "&amp;B43,NFFT_M8!$A$2:$D$100,4,FALSE))," ",_xlfn.IFNA(VLOOKUP(A43&amp;" "&amp;B43,NFFT_M8!$A$2:$D$100,4,FALSE)," "))</f>
        <v/>
      </c>
    </row>
    <row r="44" spans="1:7" x14ac:dyDescent="0.35">
      <c r="A44" t="s">
        <v>19</v>
      </c>
      <c r="B44">
        <v>3</v>
      </c>
      <c r="C44">
        <f>IF(ISBLANK(VLOOKUP(A44&amp;" "&amp;B44,NFFT_M4!$A$2:$D$100,4,FALSE))," ",_xlfn.IFNA(VLOOKUP(A44&amp;" "&amp;B44,NFFT_M4!$A$2:$D$100,4,FALSE)," "))</f>
        <v>1.9570000000000001</v>
      </c>
      <c r="D44">
        <f>IF(ISBLANK(VLOOKUP(A44&amp;" "&amp;B44,NFFT_M5!$A$2:$D$100,4,FALSE))," ",_xlfn.IFNA(VLOOKUP(A44&amp;" "&amp;B44,NFFT_M5!$A$2:$D$100,4,FALSE)," "))</f>
        <v>1.8819999999999999</v>
      </c>
      <c r="E44">
        <f>IF(ISBLANK(VLOOKUP(A44&amp;" "&amp;B44,NFFT_M6!$A$2:$D$100,4,FALSE))," ",_xlfn.IFNA(VLOOKUP(A44&amp;" "&amp;B44,NFFT_M6!$A$2:$D$100,4,FALSE)," "))</f>
        <v>4.4290000000000003</v>
      </c>
      <c r="F44" t="str">
        <f>IF(ISBLANK(VLOOKUP(A44&amp;" "&amp;B44,NFFT_M7!$A$2:$D$100,4,FALSE))," ",_xlfn.IFNA(VLOOKUP(A44&amp;" "&amp;B44,NFFT_M7!$A$2:$D$100,4,FALSE)," "))</f>
        <v xml:space="preserve"> </v>
      </c>
      <c r="G44" t="str">
        <f>IF(ISBLANK(VLOOKUP(A44&amp;" "&amp;B44,NFFT_M8!$A$2:$D$100,4,FALSE))," ",_xlfn.IFNA(VLOOKUP(A44&amp;" "&amp;B44,NFFT_M8!$A$2:$D$100,4,FALSE)," "))</f>
        <v/>
      </c>
    </row>
    <row r="45" spans="1:7" x14ac:dyDescent="0.35">
      <c r="A45" t="s">
        <v>20</v>
      </c>
      <c r="B45">
        <v>1</v>
      </c>
      <c r="C45">
        <f>IF(ISBLANK(VLOOKUP(A45&amp;" "&amp;B45,NFFT_M4!$A$2:$D$100,4,FALSE))," ",_xlfn.IFNA(VLOOKUP(A45&amp;" "&amp;B45,NFFT_M4!$A$2:$D$100,4,FALSE)," "))</f>
        <v>2.57</v>
      </c>
      <c r="D45">
        <f>IF(ISBLANK(VLOOKUP(A45&amp;" "&amp;B45,NFFT_M5!$A$2:$D$100,4,FALSE))," ",_xlfn.IFNA(VLOOKUP(A45&amp;" "&amp;B45,NFFT_M5!$A$2:$D$100,4,FALSE)," "))</f>
        <v>2.57</v>
      </c>
      <c r="E45">
        <f>IF(ISBLANK(VLOOKUP(A45&amp;" "&amp;B45,NFFT_M6!$A$2:$D$100,4,FALSE))," ",_xlfn.IFNA(VLOOKUP(A45&amp;" "&amp;B45,NFFT_M6!$A$2:$D$100,4,FALSE)," "))</f>
        <v>2.4950000000000001</v>
      </c>
      <c r="F45">
        <f>IF(ISBLANK(VLOOKUP(A45&amp;" "&amp;B45,NFFT_M7!$A$2:$D$100,4,FALSE))," ",_xlfn.IFNA(VLOOKUP(A45&amp;" "&amp;B45,NFFT_M7!$A$2:$D$100,4,FALSE)," "))</f>
        <v>3.1419999999999999</v>
      </c>
      <c r="G45" t="str">
        <f>IF(ISBLANK(VLOOKUP(A45&amp;" "&amp;B45,NFFT_M8!$A$2:$D$100,4,FALSE))," ",_xlfn.IFNA(VLOOKUP(A45&amp;" "&amp;B45,NFFT_M8!$A$2:$D$100,4,FALSE)," "))</f>
        <v/>
      </c>
    </row>
    <row r="46" spans="1:7" x14ac:dyDescent="0.35">
      <c r="A46" t="s">
        <v>20</v>
      </c>
      <c r="B46">
        <v>2</v>
      </c>
      <c r="C46" t="str">
        <f>IF(ISBLANK(VLOOKUP(A46&amp;" "&amp;B46,NFFT_M4!$A$2:$D$100,4,FALSE))," ",_xlfn.IFNA(VLOOKUP(A46&amp;" "&amp;B46,NFFT_M4!$A$2:$D$100,4,FALSE)," "))</f>
        <v xml:space="preserve"> </v>
      </c>
      <c r="D46" t="str">
        <f>IF(ISBLANK(VLOOKUP(A46&amp;" "&amp;B46,NFFT_M5!$A$2:$D$100,4,FALSE))," ",_xlfn.IFNA(VLOOKUP(A46&amp;" "&amp;B46,NFFT_M5!$A$2:$D$100,4,FALSE)," "))</f>
        <v xml:space="preserve"> </v>
      </c>
      <c r="E46" t="str">
        <f>IF(ISBLANK(VLOOKUP(A46&amp;" "&amp;B46,NFFT_M6!$A$2:$D$100,4,FALSE))," ",_xlfn.IFNA(VLOOKUP(A46&amp;" "&amp;B46,NFFT_M6!$A$2:$D$100,4,FALSE)," "))</f>
        <v xml:space="preserve"> </v>
      </c>
      <c r="F46" t="str">
        <f>IF(ISBLANK(VLOOKUP(A46&amp;" "&amp;B46,NFFT_M7!$A$2:$D$100,4,FALSE))," ",_xlfn.IFNA(VLOOKUP(A46&amp;" "&amp;B46,NFFT_M7!$A$2:$D$100,4,FALSE)," "))</f>
        <v xml:space="preserve"> </v>
      </c>
      <c r="G46" t="str">
        <f>IF(ISBLANK(VLOOKUP(A46&amp;" "&amp;B46,NFFT_M8!$A$2:$D$100,4,FALSE))," ",_xlfn.IFNA(VLOOKUP(A46&amp;" "&amp;B46,NFFT_M8!$A$2:$D$100,4,FALSE)," "))</f>
        <v xml:space="preserve"> </v>
      </c>
    </row>
    <row r="47" spans="1:7" x14ac:dyDescent="0.35">
      <c r="A47" t="s">
        <v>20</v>
      </c>
      <c r="B47">
        <v>3</v>
      </c>
      <c r="C47" t="str">
        <f>IF(ISBLANK(VLOOKUP(A47&amp;" "&amp;B47,NFFT_M4!$A$2:$D$100,4,FALSE))," ",_xlfn.IFNA(VLOOKUP(A47&amp;" "&amp;B47,NFFT_M4!$A$2:$D$100,4,FALSE)," "))</f>
        <v xml:space="preserve"> </v>
      </c>
      <c r="D47" t="str">
        <f>IF(ISBLANK(VLOOKUP(A47&amp;" "&amp;B47,NFFT_M5!$A$2:$D$100,4,FALSE))," ",_xlfn.IFNA(VLOOKUP(A47&amp;" "&amp;B47,NFFT_M5!$A$2:$D$100,4,FALSE)," "))</f>
        <v xml:space="preserve"> </v>
      </c>
      <c r="E47" t="str">
        <f>IF(ISBLANK(VLOOKUP(A47&amp;" "&amp;B47,NFFT_M6!$A$2:$D$100,4,FALSE))," ",_xlfn.IFNA(VLOOKUP(A47&amp;" "&amp;B47,NFFT_M6!$A$2:$D$100,4,FALSE)," "))</f>
        <v xml:space="preserve"> </v>
      </c>
      <c r="F47" t="str">
        <f>IF(ISBLANK(VLOOKUP(A47&amp;" "&amp;B47,NFFT_M7!$A$2:$D$100,4,FALSE))," ",_xlfn.IFNA(VLOOKUP(A47&amp;" "&amp;B47,NFFT_M7!$A$2:$D$100,4,FALSE)," "))</f>
        <v xml:space="preserve"> </v>
      </c>
      <c r="G47" t="str">
        <f>IF(ISBLANK(VLOOKUP(A47&amp;" "&amp;B47,NFFT_M8!$A$2:$D$100,4,FALSE))," ",_xlfn.IFNA(VLOOKUP(A47&amp;" "&amp;B47,NFFT_M8!$A$2:$D$100,4,FALSE)," "))</f>
        <v xml:space="preserve"> </v>
      </c>
    </row>
    <row r="48" spans="1:7" x14ac:dyDescent="0.35">
      <c r="A48" t="s">
        <v>21</v>
      </c>
      <c r="B48">
        <v>1</v>
      </c>
      <c r="C48">
        <f>IF(ISBLANK(VLOOKUP(A48&amp;" "&amp;B48,NFFT_M4!$A$2:$D$100,4,FALSE))," ",_xlfn.IFNA(VLOOKUP(A48&amp;" "&amp;B48,NFFT_M4!$A$2:$D$100,4,FALSE)," "))</f>
        <v>2.2029999999999998</v>
      </c>
      <c r="D48">
        <f>IF(ISBLANK(VLOOKUP(A48&amp;" "&amp;B48,NFFT_M5!$A$2:$D$100,4,FALSE))," ",_xlfn.IFNA(VLOOKUP(A48&amp;" "&amp;B48,NFFT_M5!$A$2:$D$100,4,FALSE)," "))</f>
        <v>2.2029999999999998</v>
      </c>
      <c r="E48">
        <f>IF(ISBLANK(VLOOKUP(A48&amp;" "&amp;B48,NFFT_M6!$A$2:$D$100,4,FALSE))," ",_xlfn.IFNA(VLOOKUP(A48&amp;" "&amp;B48,NFFT_M6!$A$2:$D$100,4,FALSE)," "))</f>
        <v>2.7970000000000002</v>
      </c>
      <c r="F48" t="str">
        <f>IF(ISBLANK(VLOOKUP(A48&amp;" "&amp;B48,NFFT_M7!$A$2:$D$100,4,FALSE))," ",_xlfn.IFNA(VLOOKUP(A48&amp;" "&amp;B48,NFFT_M7!$A$2:$D$100,4,FALSE)," "))</f>
        <v xml:space="preserve"> </v>
      </c>
      <c r="G48" t="str">
        <f>IF(ISBLANK(VLOOKUP(A48&amp;" "&amp;B48,NFFT_M8!$A$2:$D$100,4,FALSE))," ",_xlfn.IFNA(VLOOKUP(A48&amp;" "&amp;B48,NFFT_M8!$A$2:$D$100,4,FALSE)," "))</f>
        <v/>
      </c>
    </row>
    <row r="49" spans="1:7" x14ac:dyDescent="0.35">
      <c r="A49" t="s">
        <v>21</v>
      </c>
      <c r="B49">
        <v>2</v>
      </c>
      <c r="C49">
        <f>IF(ISBLANK(VLOOKUP(A49&amp;" "&amp;B49,NFFT_M4!$A$2:$D$100,4,FALSE))," ",_xlfn.IFNA(VLOOKUP(A49&amp;" "&amp;B49,NFFT_M4!$A$2:$D$100,4,FALSE)," "))</f>
        <v>2.0009999999999999</v>
      </c>
      <c r="D49">
        <f>IF(ISBLANK(VLOOKUP(A49&amp;" "&amp;B49,NFFT_M5!$A$2:$D$100,4,FALSE))," ",_xlfn.IFNA(VLOOKUP(A49&amp;" "&amp;B49,NFFT_M5!$A$2:$D$100,4,FALSE)," "))</f>
        <v>7.5490000000000004</v>
      </c>
      <c r="E49" t="str">
        <f>IF(ISBLANK(VLOOKUP(A49&amp;" "&amp;B49,NFFT_M6!$A$2:$D$100,4,FALSE))," ",_xlfn.IFNA(VLOOKUP(A49&amp;" "&amp;B49,NFFT_M6!$A$2:$D$100,4,FALSE)," "))</f>
        <v xml:space="preserve"> </v>
      </c>
      <c r="F49" t="str">
        <f>IF(ISBLANK(VLOOKUP(A49&amp;" "&amp;B49,NFFT_M7!$A$2:$D$100,4,FALSE))," ",_xlfn.IFNA(VLOOKUP(A49&amp;" "&amp;B49,NFFT_M7!$A$2:$D$100,4,FALSE)," "))</f>
        <v xml:space="preserve"> </v>
      </c>
      <c r="G49" t="str">
        <f>IF(ISBLANK(VLOOKUP(A49&amp;" "&amp;B49,NFFT_M8!$A$2:$D$100,4,FALSE))," ",_xlfn.IFNA(VLOOKUP(A49&amp;" "&amp;B49,NFFT_M8!$A$2:$D$100,4,FALSE)," "))</f>
        <v/>
      </c>
    </row>
    <row r="50" spans="1:7" x14ac:dyDescent="0.35">
      <c r="A50" t="s">
        <v>21</v>
      </c>
      <c r="B50">
        <v>3</v>
      </c>
      <c r="C50">
        <f>IF(ISBLANK(VLOOKUP(A50&amp;" "&amp;B50,NFFT_M4!$A$2:$D$100,4,FALSE))," ",_xlfn.IFNA(VLOOKUP(A50&amp;" "&amp;B50,NFFT_M4!$A$2:$D$100,4,FALSE)," "))</f>
        <v>1.7230000000000001</v>
      </c>
      <c r="D50" t="str">
        <f>IF(ISBLANK(VLOOKUP(A50&amp;" "&amp;B50,NFFT_M5!$A$2:$D$100,4,FALSE))," ",_xlfn.IFNA(VLOOKUP(A50&amp;" "&amp;B50,NFFT_M5!$A$2:$D$100,4,FALSE)," "))</f>
        <v xml:space="preserve"> </v>
      </c>
      <c r="E50" t="str">
        <f>IF(ISBLANK(VLOOKUP(A50&amp;" "&amp;B50,NFFT_M6!$A$2:$D$100,4,FALSE))," ",_xlfn.IFNA(VLOOKUP(A50&amp;" "&amp;B50,NFFT_M6!$A$2:$D$100,4,FALSE)," "))</f>
        <v xml:space="preserve"> </v>
      </c>
      <c r="F50" t="str">
        <f>IF(ISBLANK(VLOOKUP(A50&amp;" "&amp;B50,NFFT_M7!$A$2:$D$100,4,FALSE))," ",_xlfn.IFNA(VLOOKUP(A50&amp;" "&amp;B50,NFFT_M7!$A$2:$D$100,4,FALSE)," "))</f>
        <v xml:space="preserve"> </v>
      </c>
      <c r="G50" t="str">
        <f>IF(ISBLANK(VLOOKUP(A50&amp;" "&amp;B50,NFFT_M8!$A$2:$D$100,4,FALSE))," ",_xlfn.IFNA(VLOOKUP(A50&amp;" "&amp;B50,NFFT_M8!$A$2:$D$100,4,FALSE)," "))</f>
        <v xml:space="preserve"> </v>
      </c>
    </row>
    <row r="51" spans="1:7" x14ac:dyDescent="0.35">
      <c r="A51" t="s">
        <v>22</v>
      </c>
      <c r="B51">
        <v>1</v>
      </c>
      <c r="C51">
        <f>IF(ISBLANK(VLOOKUP(A51&amp;" "&amp;B51,NFFT_M4!$A$2:$D$100,4,FALSE))," ",_xlfn.IFNA(VLOOKUP(A51&amp;" "&amp;B51,NFFT_M4!$A$2:$D$100,4,FALSE)," "))</f>
        <v>1.4910000000000001</v>
      </c>
      <c r="D51">
        <f>IF(ISBLANK(VLOOKUP(A51&amp;" "&amp;B51,NFFT_M5!$A$2:$D$100,4,FALSE))," ",_xlfn.IFNA(VLOOKUP(A51&amp;" "&amp;B51,NFFT_M5!$A$2:$D$100,4,FALSE)," "))</f>
        <v>1.4910000000000001</v>
      </c>
      <c r="E51">
        <f>IF(ISBLANK(VLOOKUP(A51&amp;" "&amp;B51,NFFT_M6!$A$2:$D$100,4,FALSE))," ",_xlfn.IFNA(VLOOKUP(A51&amp;" "&amp;B51,NFFT_M6!$A$2:$D$100,4,FALSE)," "))</f>
        <v>1.4910000000000001</v>
      </c>
      <c r="F51">
        <f>IF(ISBLANK(VLOOKUP(A51&amp;" "&amp;B51,NFFT_M7!$A$2:$D$100,4,FALSE))," ",_xlfn.IFNA(VLOOKUP(A51&amp;" "&amp;B51,NFFT_M7!$A$2:$D$100,4,FALSE)," "))</f>
        <v>2.9249999999999998</v>
      </c>
      <c r="G51" t="str">
        <f>IF(ISBLANK(VLOOKUP(A51&amp;" "&amp;B51,NFFT_M8!$A$2:$D$100,4,FALSE))," ",_xlfn.IFNA(VLOOKUP(A51&amp;" "&amp;B51,NFFT_M8!$A$2:$D$100,4,FALSE)," "))</f>
        <v/>
      </c>
    </row>
    <row r="52" spans="1:7" x14ac:dyDescent="0.35">
      <c r="A52" t="s">
        <v>22</v>
      </c>
      <c r="B52">
        <v>2</v>
      </c>
      <c r="C52">
        <f>IF(ISBLANK(VLOOKUP(A52&amp;" "&amp;B52,NFFT_M4!$A$2:$D$100,4,FALSE))," ",_xlfn.IFNA(VLOOKUP(A52&amp;" "&amp;B52,NFFT_M4!$A$2:$D$100,4,FALSE)," "))</f>
        <v>1.8540000000000001</v>
      </c>
      <c r="D52">
        <f>IF(ISBLANK(VLOOKUP(A52&amp;" "&amp;B52,NFFT_M5!$A$2:$D$100,4,FALSE))," ",_xlfn.IFNA(VLOOKUP(A52&amp;" "&amp;B52,NFFT_M5!$A$2:$D$100,4,FALSE)," "))</f>
        <v>3.8839999999999999</v>
      </c>
      <c r="E52" t="str">
        <f>IF(ISBLANK(VLOOKUP(A52&amp;" "&amp;B52,NFFT_M6!$A$2:$D$100,4,FALSE))," ",_xlfn.IFNA(VLOOKUP(A52&amp;" "&amp;B52,NFFT_M6!$A$2:$D$100,4,FALSE)," "))</f>
        <v xml:space="preserve"> </v>
      </c>
      <c r="F52" t="str">
        <f>IF(ISBLANK(VLOOKUP(A52&amp;" "&amp;B52,NFFT_M7!$A$2:$D$100,4,FALSE))," ",_xlfn.IFNA(VLOOKUP(A52&amp;" "&amp;B52,NFFT_M7!$A$2:$D$100,4,FALSE)," "))</f>
        <v xml:space="preserve"> </v>
      </c>
      <c r="G52" t="str">
        <f>IF(ISBLANK(VLOOKUP(A52&amp;" "&amp;B52,NFFT_M8!$A$2:$D$100,4,FALSE))," ",_xlfn.IFNA(VLOOKUP(A52&amp;" "&amp;B52,NFFT_M8!$A$2:$D$100,4,FALSE)," "))</f>
        <v xml:space="preserve"> </v>
      </c>
    </row>
    <row r="53" spans="1:7" x14ac:dyDescent="0.35">
      <c r="A53" t="s">
        <v>22</v>
      </c>
      <c r="B53">
        <v>3</v>
      </c>
      <c r="C53" t="str">
        <f>IF(ISBLANK(VLOOKUP(A53&amp;" "&amp;B53,NFFT_M4!$A$2:$D$100,4,FALSE))," ",_xlfn.IFNA(VLOOKUP(A53&amp;" "&amp;B53,NFFT_M4!$A$2:$D$100,4,FALSE)," "))</f>
        <v xml:space="preserve"> </v>
      </c>
      <c r="D53">
        <f>IF(ISBLANK(VLOOKUP(A53&amp;" "&amp;B53,NFFT_M5!$A$2:$D$100,4,FALSE))," ",_xlfn.IFNA(VLOOKUP(A53&amp;" "&amp;B53,NFFT_M5!$A$2:$D$100,4,FALSE)," "))</f>
        <v>1.069</v>
      </c>
      <c r="E53" t="str">
        <f>IF(ISBLANK(VLOOKUP(A53&amp;" "&amp;B53,NFFT_M6!$A$2:$D$100,4,FALSE))," ",_xlfn.IFNA(VLOOKUP(A53&amp;" "&amp;B53,NFFT_M6!$A$2:$D$100,4,FALSE)," "))</f>
        <v xml:space="preserve"> </v>
      </c>
      <c r="F53" t="str">
        <f>IF(ISBLANK(VLOOKUP(A53&amp;" "&amp;B53,NFFT_M7!$A$2:$D$100,4,FALSE))," ",_xlfn.IFNA(VLOOKUP(A53&amp;" "&amp;B53,NFFT_M7!$A$2:$D$100,4,FALSE)," "))</f>
        <v xml:space="preserve"> </v>
      </c>
      <c r="G53" t="str">
        <f>IF(ISBLANK(VLOOKUP(A53&amp;" "&amp;B53,NFFT_M8!$A$2:$D$100,4,FALSE))," ",_xlfn.IFNA(VLOOKUP(A53&amp;" "&amp;B53,NFFT_M8!$A$2:$D$100,4,FALSE)," "))</f>
        <v xml:space="preserve"> </v>
      </c>
    </row>
    <row r="54" spans="1:7" x14ac:dyDescent="0.35">
      <c r="A54" t="s">
        <v>23</v>
      </c>
      <c r="B54">
        <v>1</v>
      </c>
      <c r="C54">
        <f>IF(ISBLANK(VLOOKUP(A54&amp;" "&amp;B54,NFFT_M4!$A$2:$D$100,4,FALSE))," ",_xlfn.IFNA(VLOOKUP(A54&amp;" "&amp;B54,NFFT_M4!$A$2:$D$100,4,FALSE)," "))</f>
        <v>2.819</v>
      </c>
      <c r="D54">
        <f>IF(ISBLANK(VLOOKUP(A54&amp;" "&amp;B54,NFFT_M5!$A$2:$D$100,4,FALSE))," ",_xlfn.IFNA(VLOOKUP(A54&amp;" "&amp;B54,NFFT_M5!$A$2:$D$100,4,FALSE)," "))</f>
        <v>2.819</v>
      </c>
      <c r="E54">
        <f>IF(ISBLANK(VLOOKUP(A54&amp;" "&amp;B54,NFFT_M6!$A$2:$D$100,4,FALSE))," ",_xlfn.IFNA(VLOOKUP(A54&amp;" "&amp;B54,NFFT_M6!$A$2:$D$100,4,FALSE)," "))</f>
        <v>2.746</v>
      </c>
      <c r="F54" t="str">
        <f>IF(ISBLANK(VLOOKUP(A54&amp;" "&amp;B54,NFFT_M7!$A$2:$D$100,4,FALSE))," ",_xlfn.IFNA(VLOOKUP(A54&amp;" "&amp;B54,NFFT_M7!$A$2:$D$100,4,FALSE)," "))</f>
        <v xml:space="preserve"> </v>
      </c>
      <c r="G54" t="str">
        <f>IF(ISBLANK(VLOOKUP(A54&amp;" "&amp;B54,NFFT_M8!$A$2:$D$100,4,FALSE))," ",_xlfn.IFNA(VLOOKUP(A54&amp;" "&amp;B54,NFFT_M8!$A$2:$D$100,4,FALSE)," "))</f>
        <v/>
      </c>
    </row>
    <row r="55" spans="1:7" x14ac:dyDescent="0.35">
      <c r="A55" t="s">
        <v>24</v>
      </c>
      <c r="B55">
        <v>1</v>
      </c>
      <c r="C55">
        <f>IF(ISBLANK(VLOOKUP(A55&amp;" "&amp;B55,NFFT_M4!$A$2:$D$100,4,FALSE))," ",_xlfn.IFNA(VLOOKUP(A55&amp;" "&amp;B55,NFFT_M4!$A$2:$D$100,4,FALSE)," "))</f>
        <v>2.4670000000000001</v>
      </c>
      <c r="D55">
        <f>IF(ISBLANK(VLOOKUP(A55&amp;" "&amp;B55,NFFT_M5!$A$2:$D$100,4,FALSE))," ",_xlfn.IFNA(VLOOKUP(A55&amp;" "&amp;B55,NFFT_M5!$A$2:$D$100,4,FALSE)," "))</f>
        <v>2.2029999999999998</v>
      </c>
      <c r="E55">
        <f>IF(ISBLANK(VLOOKUP(A55&amp;" "&amp;B55,NFFT_M6!$A$2:$D$100,4,FALSE))," ",_xlfn.IFNA(VLOOKUP(A55&amp;" "&amp;B55,NFFT_M6!$A$2:$D$100,4,FALSE)," "))</f>
        <v>1.698</v>
      </c>
      <c r="F55" t="str">
        <f>IF(ISBLANK(VLOOKUP(A55&amp;" "&amp;B55,NFFT_M7!$A$2:$D$100,4,FALSE))," ",_xlfn.IFNA(VLOOKUP(A55&amp;" "&amp;B55,NFFT_M7!$A$2:$D$100,4,FALSE)," "))</f>
        <v xml:space="preserve"> </v>
      </c>
      <c r="G55" t="str">
        <f>IF(ISBLANK(VLOOKUP(A55&amp;" "&amp;B55,NFFT_M8!$A$2:$D$100,4,FALSE))," ",_xlfn.IFNA(VLOOKUP(A55&amp;" "&amp;B55,NFFT_M8!$A$2:$D$100,4,FALSE)," "))</f>
        <v xml:space="preserve"> </v>
      </c>
    </row>
    <row r="56" spans="1:7" x14ac:dyDescent="0.35">
      <c r="A56" t="s">
        <v>24</v>
      </c>
      <c r="B56">
        <v>2</v>
      </c>
      <c r="C56">
        <f>IF(ISBLANK(VLOOKUP(A56&amp;" "&amp;B56,NFFT_M4!$A$2:$D$100,4,FALSE))," ",_xlfn.IFNA(VLOOKUP(A56&amp;" "&amp;B56,NFFT_M4!$A$2:$D$100,4,FALSE)," "))</f>
        <v>1.766</v>
      </c>
      <c r="D56">
        <f>IF(ISBLANK(VLOOKUP(A56&amp;" "&amp;B56,NFFT_M5!$A$2:$D$100,4,FALSE))," ",_xlfn.IFNA(VLOOKUP(A56&amp;" "&amp;B56,NFFT_M5!$A$2:$D$100,4,FALSE)," "))</f>
        <v>2.0640000000000001</v>
      </c>
      <c r="E56" t="str">
        <f>IF(ISBLANK(VLOOKUP(A56&amp;" "&amp;B56,NFFT_M6!$A$2:$D$100,4,FALSE))," ",_xlfn.IFNA(VLOOKUP(A56&amp;" "&amp;B56,NFFT_M6!$A$2:$D$100,4,FALSE)," "))</f>
        <v xml:space="preserve"> </v>
      </c>
      <c r="F56" t="str">
        <f>IF(ISBLANK(VLOOKUP(A56&amp;" "&amp;B56,NFFT_M7!$A$2:$D$100,4,FALSE))," ",_xlfn.IFNA(VLOOKUP(A56&amp;" "&amp;B56,NFFT_M7!$A$2:$D$100,4,FALSE)," "))</f>
        <v xml:space="preserve"> </v>
      </c>
      <c r="G56" t="str">
        <f>IF(ISBLANK(VLOOKUP(A56&amp;" "&amp;B56,NFFT_M8!$A$2:$D$100,4,FALSE))," ",_xlfn.IFNA(VLOOKUP(A56&amp;" "&amp;B56,NFFT_M8!$A$2:$D$100,4,FALSE)," "))</f>
        <v xml:space="preserve"> </v>
      </c>
    </row>
    <row r="57" spans="1:7" x14ac:dyDescent="0.35">
      <c r="A57" t="s">
        <v>24</v>
      </c>
      <c r="B57">
        <v>3</v>
      </c>
      <c r="C57">
        <f>IF(ISBLANK(VLOOKUP(A57&amp;" "&amp;B57,NFFT_M4!$A$2:$D$100,4,FALSE))," ",_xlfn.IFNA(VLOOKUP(A57&amp;" "&amp;B57,NFFT_M4!$A$2:$D$100,4,FALSE)," "))</f>
        <v>2.1459999999999999</v>
      </c>
      <c r="D57">
        <f>IF(ISBLANK(VLOOKUP(A57&amp;" "&amp;B57,NFFT_M5!$A$2:$D$100,4,FALSE))," ",_xlfn.IFNA(VLOOKUP(A57&amp;" "&amp;B57,NFFT_M5!$A$2:$D$100,4,FALSE)," "))</f>
        <v>1.9079999999999999</v>
      </c>
      <c r="E57">
        <f>IF(ISBLANK(VLOOKUP(A57&amp;" "&amp;B57,NFFT_M6!$A$2:$D$100,4,FALSE))," ",_xlfn.IFNA(VLOOKUP(A57&amp;" "&amp;B57,NFFT_M6!$A$2:$D$100,4,FALSE)," "))</f>
        <v>4.4260000000000002</v>
      </c>
      <c r="F57" t="str">
        <f>IF(ISBLANK(VLOOKUP(A57&amp;" "&amp;B57,NFFT_M7!$A$2:$D$100,4,FALSE))," ",_xlfn.IFNA(VLOOKUP(A57&amp;" "&amp;B57,NFFT_M7!$A$2:$D$100,4,FALSE)," "))</f>
        <v xml:space="preserve"> </v>
      </c>
      <c r="G57" t="str">
        <f>IF(ISBLANK(VLOOKUP(A57&amp;" "&amp;B57,NFFT_M8!$A$2:$D$100,4,FALSE))," ",_xlfn.IFNA(VLOOKUP(A57&amp;" "&amp;B57,NFFT_M8!$A$2:$D$100,4,FALSE)," "))</f>
        <v/>
      </c>
    </row>
    <row r="58" spans="1:7" x14ac:dyDescent="0.35">
      <c r="A58" t="s">
        <v>25</v>
      </c>
      <c r="B58">
        <v>1</v>
      </c>
      <c r="C58">
        <f>IF(ISBLANK(VLOOKUP(A58&amp;" "&amp;B58,NFFT_M4!$A$2:$D$100,4,FALSE))," ",_xlfn.IFNA(VLOOKUP(A58&amp;" "&amp;B58,NFFT_M4!$A$2:$D$100,4,FALSE)," "))</f>
        <v>1.68</v>
      </c>
      <c r="D58">
        <f>IF(ISBLANK(VLOOKUP(A58&amp;" "&amp;B58,NFFT_M5!$A$2:$D$100,4,FALSE))," ",_xlfn.IFNA(VLOOKUP(A58&amp;" "&amp;B58,NFFT_M5!$A$2:$D$100,4,FALSE)," "))</f>
        <v>1.68</v>
      </c>
      <c r="E58">
        <f>IF(ISBLANK(VLOOKUP(A58&amp;" "&amp;B58,NFFT_M6!$A$2:$D$100,4,FALSE))," ",_xlfn.IFNA(VLOOKUP(A58&amp;" "&amp;B58,NFFT_M6!$A$2:$D$100,4,FALSE)," "))</f>
        <v>1.587</v>
      </c>
      <c r="F58">
        <f>IF(ISBLANK(VLOOKUP(A58&amp;" "&amp;B58,NFFT_M7!$A$2:$D$100,4,FALSE))," ",_xlfn.IFNA(VLOOKUP(A58&amp;" "&amp;B58,NFFT_M7!$A$2:$D$100,4,FALSE)," "))</f>
        <v>4.798</v>
      </c>
      <c r="G58" t="str">
        <f>IF(ISBLANK(VLOOKUP(A58&amp;" "&amp;B58,NFFT_M8!$A$2:$D$100,4,FALSE))," ",_xlfn.IFNA(VLOOKUP(A58&amp;" "&amp;B58,NFFT_M8!$A$2:$D$100,4,FALSE)," "))</f>
        <v/>
      </c>
    </row>
    <row r="59" spans="1:7" x14ac:dyDescent="0.35">
      <c r="A59" t="s">
        <v>25</v>
      </c>
      <c r="B59">
        <v>2</v>
      </c>
      <c r="C59">
        <f>IF(ISBLANK(VLOOKUP(A59&amp;" "&amp;B59,NFFT_M4!$A$2:$D$100,4,FALSE))," ",_xlfn.IFNA(VLOOKUP(A59&amp;" "&amp;B59,NFFT_M4!$A$2:$D$100,4,FALSE)," "))</f>
        <v>2.0129999999999999</v>
      </c>
      <c r="D59">
        <f>IF(ISBLANK(VLOOKUP(A59&amp;" "&amp;B59,NFFT_M5!$A$2:$D$100,4,FALSE))," ",_xlfn.IFNA(VLOOKUP(A59&amp;" "&amp;B59,NFFT_M5!$A$2:$D$100,4,FALSE)," "))</f>
        <v>2.6920000000000002</v>
      </c>
      <c r="E59">
        <f>IF(ISBLANK(VLOOKUP(A59&amp;" "&amp;B59,NFFT_M6!$A$2:$D$100,4,FALSE))," ",_xlfn.IFNA(VLOOKUP(A59&amp;" "&amp;B59,NFFT_M6!$A$2:$D$100,4,FALSE)," "))</f>
        <v>5.1150000000000002</v>
      </c>
      <c r="F59" t="str">
        <f>IF(ISBLANK(VLOOKUP(A59&amp;" "&amp;B59,NFFT_M7!$A$2:$D$100,4,FALSE))," ",_xlfn.IFNA(VLOOKUP(A59&amp;" "&amp;B59,NFFT_M7!$A$2:$D$100,4,FALSE)," "))</f>
        <v xml:space="preserve"> </v>
      </c>
      <c r="G59" t="str">
        <f>IF(ISBLANK(VLOOKUP(A59&amp;" "&amp;B59,NFFT_M8!$A$2:$D$100,4,FALSE))," ",_xlfn.IFNA(VLOOKUP(A59&amp;" "&amp;B59,NFFT_M8!$A$2:$D$100,4,FALSE)," "))</f>
        <v xml:space="preserve"> </v>
      </c>
    </row>
    <row r="60" spans="1:7" x14ac:dyDescent="0.35">
      <c r="A60" t="s">
        <v>26</v>
      </c>
      <c r="B60">
        <v>1</v>
      </c>
      <c r="C60">
        <f>IF(ISBLANK(VLOOKUP(A60&amp;" "&amp;B60,NFFT_M4!$A$2:$D$100,4,FALSE))," ",_xlfn.IFNA(VLOOKUP(A60&amp;" "&amp;B60,NFFT_M4!$A$2:$D$100,4,FALSE)," "))</f>
        <v>2.4950000000000001</v>
      </c>
      <c r="D60" t="str">
        <f>IF(ISBLANK(VLOOKUP(A60&amp;" "&amp;B60,NFFT_M5!$A$2:$D$100,4,FALSE))," ",_xlfn.IFNA(VLOOKUP(A60&amp;" "&amp;B60,NFFT_M5!$A$2:$D$100,4,FALSE)," "))</f>
        <v xml:space="preserve"> </v>
      </c>
      <c r="E60" t="str">
        <f>IF(ISBLANK(VLOOKUP(A60&amp;" "&amp;B60,NFFT_M6!$A$2:$D$100,4,FALSE))," ",_xlfn.IFNA(VLOOKUP(A60&amp;" "&amp;B60,NFFT_M6!$A$2:$D$100,4,FALSE)," "))</f>
        <v xml:space="preserve"> </v>
      </c>
      <c r="F60" t="str">
        <f>IF(ISBLANK(VLOOKUP(A60&amp;" "&amp;B60,NFFT_M7!$A$2:$D$100,4,FALSE))," ",_xlfn.IFNA(VLOOKUP(A60&amp;" "&amp;B60,NFFT_M7!$A$2:$D$100,4,FALSE)," "))</f>
        <v xml:space="preserve"> </v>
      </c>
      <c r="G60" t="str">
        <f>IF(ISBLANK(VLOOKUP(A60&amp;" "&amp;B60,NFFT_M8!$A$2:$D$100,4,FALSE))," ",_xlfn.IFNA(VLOOKUP(A60&amp;" "&amp;B60,NFFT_M8!$A$2:$D$100,4,FALSE)," "))</f>
        <v/>
      </c>
    </row>
    <row r="61" spans="1:7" x14ac:dyDescent="0.35">
      <c r="A61" t="s">
        <v>26</v>
      </c>
      <c r="B61">
        <v>2</v>
      </c>
      <c r="C61">
        <f>IF(ISBLANK(VLOOKUP(A61&amp;" "&amp;B61,NFFT_M4!$A$2:$D$100,4,FALSE))," ",_xlfn.IFNA(VLOOKUP(A61&amp;" "&amp;B61,NFFT_M4!$A$2:$D$100,4,FALSE)," "))</f>
        <v>2.6619999999999999</v>
      </c>
      <c r="D61" t="str">
        <f>IF(ISBLANK(VLOOKUP(A61&amp;" "&amp;B61,NFFT_M5!$A$2:$D$100,4,FALSE))," ",_xlfn.IFNA(VLOOKUP(A61&amp;" "&amp;B61,NFFT_M5!$A$2:$D$100,4,FALSE)," "))</f>
        <v xml:space="preserve"> </v>
      </c>
      <c r="E61" t="str">
        <f>IF(ISBLANK(VLOOKUP(A61&amp;" "&amp;B61,NFFT_M6!$A$2:$D$100,4,FALSE))," ",_xlfn.IFNA(VLOOKUP(A61&amp;" "&amp;B61,NFFT_M6!$A$2:$D$100,4,FALSE)," "))</f>
        <v xml:space="preserve"> </v>
      </c>
      <c r="F61" t="str">
        <f>IF(ISBLANK(VLOOKUP(A61&amp;" "&amp;B61,NFFT_M7!$A$2:$D$100,4,FALSE))," ",_xlfn.IFNA(VLOOKUP(A61&amp;" "&amp;B61,NFFT_M7!$A$2:$D$100,4,FALSE)," "))</f>
        <v xml:space="preserve"> </v>
      </c>
      <c r="G61" t="str">
        <f>IF(ISBLANK(VLOOKUP(A61&amp;" "&amp;B61,NFFT_M8!$A$2:$D$100,4,FALSE))," ",_xlfn.IFNA(VLOOKUP(A61&amp;" "&amp;B61,NFFT_M8!$A$2:$D$100,4,FALSE)," "))</f>
        <v/>
      </c>
    </row>
    <row r="62" spans="1:7" x14ac:dyDescent="0.35">
      <c r="A62" t="s">
        <v>26</v>
      </c>
      <c r="B62">
        <v>3</v>
      </c>
      <c r="C62">
        <f>IF(ISBLANK(VLOOKUP(A62&amp;" "&amp;B62,NFFT_M4!$A$2:$D$100,4,FALSE))," ",_xlfn.IFNA(VLOOKUP(A62&amp;" "&amp;B62,NFFT_M4!$A$2:$D$100,4,FALSE)," "))</f>
        <v>2.8130000000000002</v>
      </c>
      <c r="D62" t="str">
        <f>IF(ISBLANK(VLOOKUP(A62&amp;" "&amp;B62,NFFT_M5!$A$2:$D$100,4,FALSE))," ",_xlfn.IFNA(VLOOKUP(A62&amp;" "&amp;B62,NFFT_M5!$A$2:$D$100,4,FALSE)," "))</f>
        <v xml:space="preserve"> </v>
      </c>
      <c r="E62" t="str">
        <f>IF(ISBLANK(VLOOKUP(A62&amp;" "&amp;B62,NFFT_M6!$A$2:$D$100,4,FALSE))," ",_xlfn.IFNA(VLOOKUP(A62&amp;" "&amp;B62,NFFT_M6!$A$2:$D$100,4,FALSE)," "))</f>
        <v xml:space="preserve"> </v>
      </c>
      <c r="F62" t="str">
        <f>IF(ISBLANK(VLOOKUP(A62&amp;" "&amp;B62,NFFT_M7!$A$2:$D$100,4,FALSE))," ",_xlfn.IFNA(VLOOKUP(A62&amp;" "&amp;B62,NFFT_M7!$A$2:$D$100,4,FALSE)," "))</f>
        <v xml:space="preserve"> </v>
      </c>
      <c r="G62" t="str">
        <f>IF(ISBLANK(VLOOKUP(A62&amp;" "&amp;B62,NFFT_M8!$A$2:$D$100,4,FALSE))," ",_xlfn.IFNA(VLOOKUP(A62&amp;" "&amp;B62,NFFT_M8!$A$2:$D$100,4,FALSE)," "))</f>
        <v xml:space="preserve"> </v>
      </c>
    </row>
    <row r="63" spans="1:7" x14ac:dyDescent="0.35">
      <c r="A63" s="2" t="s">
        <v>27</v>
      </c>
      <c r="B63" s="2">
        <v>1</v>
      </c>
      <c r="C63" s="2" t="str">
        <f>IF(ISBLANK(VLOOKUP(A63&amp;" "&amp;B63,NFFT_M4!$A$2:$D$100,4,FALSE))," ",_xlfn.IFNA(VLOOKUP(A63&amp;" "&amp;B63,NFFT_M4!$A$2:$D$100,4,FALSE)," "))</f>
        <v xml:space="preserve"> </v>
      </c>
      <c r="D63" s="2">
        <f>IF(ISBLANK(VLOOKUP(A63&amp;" "&amp;B63,NFFT_M5!$A$2:$D$100,4,FALSE))," ",_xlfn.IFNA(VLOOKUP(A63&amp;" "&amp;B63,NFFT_M5!$A$2:$D$100,4,FALSE)," "))</f>
        <v>1.246</v>
      </c>
      <c r="E63" t="str">
        <f>IF(ISBLANK(VLOOKUP(A63&amp;" "&amp;B63,NFFT_M6!$A$2:$D$100,4,FALSE))," ",_xlfn.IFNA(VLOOKUP(A63&amp;" "&amp;B63,NFFT_M6!$A$2:$D$100,4,FALSE)," "))</f>
        <v xml:space="preserve"> </v>
      </c>
      <c r="F63" t="str">
        <f>IF(ISBLANK(VLOOKUP(A63&amp;" "&amp;B63,NFFT_M7!$A$2:$D$100,4,FALSE))," ",_xlfn.IFNA(VLOOKUP(A63&amp;" "&amp;B63,NFFT_M7!$A$2:$D$100,4,FALSE)," "))</f>
        <v xml:space="preserve"> </v>
      </c>
      <c r="G63" t="str">
        <f>IF(ISBLANK(VLOOKUP(A63&amp;" "&amp;B63,NFFT_M8!$A$2:$D$100,4,FALSE))," ",_xlfn.IFNA(VLOOKUP(A63&amp;" "&amp;B63,NFFT_M8!$A$2:$D$100,4,FALSE)," "))</f>
        <v/>
      </c>
    </row>
    <row r="64" spans="1:7" x14ac:dyDescent="0.35">
      <c r="A64" t="s">
        <v>27</v>
      </c>
      <c r="B64">
        <v>2</v>
      </c>
      <c r="C64">
        <f>IF(ISBLANK(VLOOKUP(A64&amp;" "&amp;B64,NFFT_M4!$A$2:$D$100,4,FALSE))," ",_xlfn.IFNA(VLOOKUP(A64&amp;" "&amp;B64,NFFT_M4!$A$2:$D$100,4,FALSE)," "))</f>
        <v>3.2090000000000001</v>
      </c>
      <c r="D64">
        <f>IF(ISBLANK(VLOOKUP(A64&amp;" "&amp;B64,NFFT_M5!$A$2:$D$100,4,FALSE))," ",_xlfn.IFNA(VLOOKUP(A64&amp;" "&amp;B64,NFFT_M5!$A$2:$D$100,4,FALSE)," "))</f>
        <v>3.294</v>
      </c>
      <c r="E64" t="str">
        <f>IF(ISBLANK(VLOOKUP(A64&amp;" "&amp;B64,NFFT_M6!$A$2:$D$100,4,FALSE))," ",_xlfn.IFNA(VLOOKUP(A64&amp;" "&amp;B64,NFFT_M6!$A$2:$D$100,4,FALSE)," "))</f>
        <v xml:space="preserve"> </v>
      </c>
      <c r="F64" t="str">
        <f>IF(ISBLANK(VLOOKUP(A64&amp;" "&amp;B64,NFFT_M7!$A$2:$D$100,4,FALSE))," ",_xlfn.IFNA(VLOOKUP(A64&amp;" "&amp;B64,NFFT_M7!$A$2:$D$100,4,FALSE)," "))</f>
        <v xml:space="preserve"> </v>
      </c>
      <c r="G64" t="str">
        <f>IF(ISBLANK(VLOOKUP(A64&amp;" "&amp;B64,NFFT_M8!$A$2:$D$100,4,FALSE))," ",_xlfn.IFNA(VLOOKUP(A64&amp;" "&amp;B64,NFFT_M8!$A$2:$D$100,4,FALSE)," "))</f>
        <v/>
      </c>
    </row>
    <row r="65" spans="1:7" x14ac:dyDescent="0.35">
      <c r="A65" t="s">
        <v>28</v>
      </c>
      <c r="B65">
        <v>1</v>
      </c>
      <c r="C65">
        <f>IF(ISBLANK(VLOOKUP(A65&amp;" "&amp;B65,NFFT_M4!$A$2:$D$100,4,FALSE))," ",_xlfn.IFNA(VLOOKUP(A65&amp;" "&amp;B65,NFFT_M4!$A$2:$D$100,4,FALSE)," "))</f>
        <v>0.69699999999999995</v>
      </c>
      <c r="D65">
        <f>IF(ISBLANK(VLOOKUP(A65&amp;" "&amp;B65,NFFT_M5!$A$2:$D$100,4,FALSE))," ",_xlfn.IFNA(VLOOKUP(A65&amp;" "&amp;B65,NFFT_M5!$A$2:$D$100,4,FALSE)," "))</f>
        <v>1.3320000000000001</v>
      </c>
      <c r="E65" t="str">
        <f>IF(ISBLANK(VLOOKUP(A65&amp;" "&amp;B65,NFFT_M6!$A$2:$D$100,4,FALSE))," ",_xlfn.IFNA(VLOOKUP(A65&amp;" "&amp;B65,NFFT_M6!$A$2:$D$100,4,FALSE)," "))</f>
        <v xml:space="preserve"> </v>
      </c>
      <c r="F65" t="str">
        <f>IF(ISBLANK(VLOOKUP(A65&amp;" "&amp;B65,NFFT_M7!$A$2:$D$100,4,FALSE))," ",_xlfn.IFNA(VLOOKUP(A65&amp;" "&amp;B65,NFFT_M7!$A$2:$D$100,4,FALSE)," "))</f>
        <v xml:space="preserve"> </v>
      </c>
      <c r="G65" t="str">
        <f>IF(ISBLANK(VLOOKUP(A65&amp;" "&amp;B65,NFFT_M8!$A$2:$D$100,4,FALSE))," ",_xlfn.IFNA(VLOOKUP(A65&amp;" "&amp;B65,NFFT_M8!$A$2:$D$100,4,FALSE)," "))</f>
        <v/>
      </c>
    </row>
    <row r="66" spans="1:7" x14ac:dyDescent="0.35">
      <c r="A66" t="s">
        <v>28</v>
      </c>
      <c r="B66">
        <v>2</v>
      </c>
      <c r="C66">
        <f>IF(ISBLANK(VLOOKUP(A66&amp;" "&amp;B66,NFFT_M4!$A$2:$D$100,4,FALSE))," ",_xlfn.IFNA(VLOOKUP(A66&amp;" "&amp;B66,NFFT_M4!$A$2:$D$100,4,FALSE)," "))</f>
        <v>1.048</v>
      </c>
      <c r="D66">
        <f>IF(ISBLANK(VLOOKUP(A66&amp;" "&amp;B66,NFFT_M5!$A$2:$D$100,4,FALSE))," ",_xlfn.IFNA(VLOOKUP(A66&amp;" "&amp;B66,NFFT_M5!$A$2:$D$100,4,FALSE)," "))</f>
        <v>1.032</v>
      </c>
      <c r="E66" t="str">
        <f>IF(ISBLANK(VLOOKUP(A66&amp;" "&amp;B66,NFFT_M6!$A$2:$D$100,4,FALSE))," ",_xlfn.IFNA(VLOOKUP(A66&amp;" "&amp;B66,NFFT_M6!$A$2:$D$100,4,FALSE)," "))</f>
        <v xml:space="preserve"> </v>
      </c>
      <c r="F66" t="str">
        <f>IF(ISBLANK(VLOOKUP(A66&amp;" "&amp;B66,NFFT_M7!$A$2:$D$100,4,FALSE))," ",_xlfn.IFNA(VLOOKUP(A66&amp;" "&amp;B66,NFFT_M7!$A$2:$D$100,4,FALSE)," "))</f>
        <v xml:space="preserve"> </v>
      </c>
      <c r="G66" t="str">
        <f>IF(ISBLANK(VLOOKUP(A66&amp;" "&amp;B66,NFFT_M8!$A$2:$D$100,4,FALSE))," ",_xlfn.IFNA(VLOOKUP(A66&amp;" "&amp;B66,NFFT_M8!$A$2:$D$100,4,FALSE)," "))</f>
        <v/>
      </c>
    </row>
    <row r="67" spans="1:7" x14ac:dyDescent="0.35">
      <c r="A67" t="s">
        <v>28</v>
      </c>
      <c r="B67">
        <v>3</v>
      </c>
      <c r="C67" t="str">
        <f>IF(ISBLANK(VLOOKUP(A67&amp;" "&amp;B67,NFFT_M4!$A$2:$D$100,4,FALSE))," ",_xlfn.IFNA(VLOOKUP(A67&amp;" "&amp;B67,NFFT_M4!$A$2:$D$100,4,FALSE)," "))</f>
        <v xml:space="preserve"> </v>
      </c>
      <c r="D67" t="str">
        <f>IF(ISBLANK(VLOOKUP(A67&amp;" "&amp;B67,NFFT_M5!$A$2:$D$100,4,FALSE))," ",_xlfn.IFNA(VLOOKUP(A67&amp;" "&amp;B67,NFFT_M5!$A$2:$D$100,4,FALSE)," "))</f>
        <v xml:space="preserve"> </v>
      </c>
      <c r="E67" t="str">
        <f>IF(ISBLANK(VLOOKUP(A67&amp;" "&amp;B67,NFFT_M6!$A$2:$D$100,4,FALSE))," ",_xlfn.IFNA(VLOOKUP(A67&amp;" "&amp;B67,NFFT_M6!$A$2:$D$100,4,FALSE)," "))</f>
        <v xml:space="preserve"> </v>
      </c>
      <c r="F67" t="str">
        <f>IF(ISBLANK(VLOOKUP(A67&amp;" "&amp;B67,NFFT_M7!$A$2:$D$100,4,FALSE))," ",_xlfn.IFNA(VLOOKUP(A67&amp;" "&amp;B67,NFFT_M7!$A$2:$D$100,4,FALSE)," "))</f>
        <v xml:space="preserve"> </v>
      </c>
      <c r="G67" t="str">
        <f>IF(ISBLANK(VLOOKUP(A67&amp;" "&amp;B67,NFFT_M8!$A$2:$D$100,4,FALSE))," ",_xlfn.IFNA(VLOOKUP(A67&amp;" "&amp;B67,NFFT_M8!$A$2:$D$100,4,FALSE)," "))</f>
        <v/>
      </c>
    </row>
    <row r="68" spans="1:7" x14ac:dyDescent="0.35">
      <c r="A68" t="s">
        <v>29</v>
      </c>
      <c r="B68">
        <v>1</v>
      </c>
      <c r="C68">
        <f>IF(ISBLANK(VLOOKUP(A68&amp;" "&amp;B68,NFFT_M4!$A$2:$D$100,4,FALSE))," ",_xlfn.IFNA(VLOOKUP(A68&amp;" "&amp;B68,NFFT_M4!$A$2:$D$100,4,FALSE)," "))</f>
        <v>2.0049999999999999</v>
      </c>
      <c r="D68">
        <f>IF(ISBLANK(VLOOKUP(A68&amp;" "&amp;B68,NFFT_M5!$A$2:$D$100,4,FALSE))," ",_xlfn.IFNA(VLOOKUP(A68&amp;" "&amp;B68,NFFT_M5!$A$2:$D$100,4,FALSE)," "))</f>
        <v>1.9259999999999999</v>
      </c>
      <c r="E68" t="str">
        <f>IF(ISBLANK(VLOOKUP(A68&amp;" "&amp;B68,NFFT_M6!$A$2:$D$100,4,FALSE))," ",_xlfn.IFNA(VLOOKUP(A68&amp;" "&amp;B68,NFFT_M6!$A$2:$D$100,4,FALSE)," "))</f>
        <v xml:space="preserve"> </v>
      </c>
      <c r="F68" t="str">
        <f>IF(ISBLANK(VLOOKUP(A68&amp;" "&amp;B68,NFFT_M7!$A$2:$D$100,4,FALSE))," ",_xlfn.IFNA(VLOOKUP(A68&amp;" "&amp;B68,NFFT_M7!$A$2:$D$100,4,FALSE)," "))</f>
        <v xml:space="preserve"> </v>
      </c>
      <c r="G68" t="str">
        <f>IF(ISBLANK(VLOOKUP(A68&amp;" "&amp;B68,NFFT_M8!$A$2:$D$100,4,FALSE))," ",_xlfn.IFNA(VLOOKUP(A68&amp;" "&amp;B68,NFFT_M8!$A$2:$D$100,4,FALSE)," "))</f>
        <v/>
      </c>
    </row>
    <row r="69" spans="1:7" x14ac:dyDescent="0.35">
      <c r="A69" t="s">
        <v>29</v>
      </c>
      <c r="B69">
        <v>2</v>
      </c>
      <c r="C69" t="str">
        <f>IF(ISBLANK(VLOOKUP(A69&amp;" "&amp;B69,NFFT_M4!$A$2:$D$100,4,FALSE))," ",_xlfn.IFNA(VLOOKUP(A69&amp;" "&amp;B69,NFFT_M4!$A$2:$D$100,4,FALSE)," "))</f>
        <v xml:space="preserve"> </v>
      </c>
      <c r="D69" t="str">
        <f>IF(ISBLANK(VLOOKUP(A69&amp;" "&amp;B69,NFFT_M5!$A$2:$D$100,4,FALSE))," ",_xlfn.IFNA(VLOOKUP(A69&amp;" "&amp;B69,NFFT_M5!$A$2:$D$100,4,FALSE)," "))</f>
        <v xml:space="preserve"> </v>
      </c>
      <c r="E69" t="str">
        <f>IF(ISBLANK(VLOOKUP(A69&amp;" "&amp;B69,NFFT_M6!$A$2:$D$100,4,FALSE))," ",_xlfn.IFNA(VLOOKUP(A69&amp;" "&amp;B69,NFFT_M6!$A$2:$D$100,4,FALSE)," "))</f>
        <v xml:space="preserve"> </v>
      </c>
      <c r="F69" t="str">
        <f>IF(ISBLANK(VLOOKUP(A69&amp;" "&amp;B69,NFFT_M7!$A$2:$D$100,4,FALSE))," ",_xlfn.IFNA(VLOOKUP(A69&amp;" "&amp;B69,NFFT_M7!$A$2:$D$100,4,FALSE)," "))</f>
        <v xml:space="preserve"> </v>
      </c>
      <c r="G69" t="str">
        <f>IF(ISBLANK(VLOOKUP(A69&amp;" "&amp;B69,NFFT_M8!$A$2:$D$100,4,FALSE))," ",_xlfn.IFNA(VLOOKUP(A69&amp;" "&amp;B69,NFFT_M8!$A$2:$D$100,4,FALSE)," "))</f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EA147-74EB-46F6-AEF8-A3A7D58E772F}">
  <dimension ref="A1:K69"/>
  <sheetViews>
    <sheetView workbookViewId="0">
      <selection activeCell="A2" sqref="A2"/>
    </sheetView>
  </sheetViews>
  <sheetFormatPr defaultRowHeight="14.5" x14ac:dyDescent="0.35"/>
  <cols>
    <col min="2" max="2" width="16.6328125" bestFit="1" customWidth="1"/>
    <col min="4" max="4" width="17.26953125" bestFit="1" customWidth="1"/>
    <col min="5" max="5" width="11.81640625" bestFit="1" customWidth="1"/>
    <col min="6" max="6" width="18.08984375" bestFit="1" customWidth="1"/>
    <col min="7" max="7" width="18.90625" bestFit="1" customWidth="1"/>
    <col min="8" max="8" width="11.81640625" bestFit="1" customWidth="1"/>
    <col min="9" max="9" width="18.81640625" bestFit="1" customWidth="1"/>
    <col min="10" max="10" width="18.6328125" bestFit="1" customWidth="1"/>
    <col min="11" max="11" width="29.26953125" bestFit="1" customWidth="1"/>
  </cols>
  <sheetData>
    <row r="1" spans="1:11" x14ac:dyDescent="0.35">
      <c r="B1" t="s">
        <v>0</v>
      </c>
      <c r="C1" t="s">
        <v>30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 x14ac:dyDescent="0.35">
      <c r="A2" t="str">
        <f>NFFT_M4[[#This Row],[country]]&amp; " "&amp;NFFT_M4[[#This Row],[cluster]]</f>
        <v>Japan 1</v>
      </c>
      <c r="B2" t="s">
        <v>2</v>
      </c>
      <c r="C2">
        <v>1</v>
      </c>
      <c r="D2">
        <v>1.5409999999999999</v>
      </c>
      <c r="E2">
        <v>322.23776220000002</v>
      </c>
      <c r="F2">
        <v>144</v>
      </c>
      <c r="G2">
        <v>46080</v>
      </c>
      <c r="H2">
        <v>81.944444439999998</v>
      </c>
      <c r="I2">
        <v>0.133933987</v>
      </c>
      <c r="J2">
        <v>59</v>
      </c>
      <c r="K2">
        <v>2.1383078690000001</v>
      </c>
    </row>
    <row r="3" spans="1:11" x14ac:dyDescent="0.35">
      <c r="A3" t="str">
        <f>NFFT_M4[[#This Row],[country]]&amp; " "&amp;NFFT_M4[[#This Row],[cluster]]</f>
        <v>Japan 2</v>
      </c>
      <c r="B3" t="s">
        <v>2</v>
      </c>
      <c r="C3">
        <v>2</v>
      </c>
      <c r="D3">
        <v>1.506</v>
      </c>
      <c r="E3">
        <v>353.99224809999998</v>
      </c>
      <c r="F3">
        <v>130</v>
      </c>
      <c r="G3">
        <v>45665</v>
      </c>
      <c r="H3">
        <v>83.07692308</v>
      </c>
      <c r="I3">
        <v>0.10967880300000001</v>
      </c>
      <c r="J3">
        <v>54</v>
      </c>
      <c r="K3">
        <v>2.3152584479999998</v>
      </c>
    </row>
    <row r="4" spans="1:11" x14ac:dyDescent="0.35">
      <c r="A4" t="str">
        <f>NFFT_M4[[#This Row],[country]]&amp; " "&amp;NFFT_M4[[#This Row],[cluster]]</f>
        <v>Japan 3</v>
      </c>
      <c r="B4" t="s">
        <v>2</v>
      </c>
      <c r="C4">
        <v>3</v>
      </c>
      <c r="E4">
        <v>1285.7777779999999</v>
      </c>
      <c r="F4">
        <v>28</v>
      </c>
      <c r="G4">
        <v>34716</v>
      </c>
      <c r="H4">
        <v>0</v>
      </c>
      <c r="I4">
        <v>0</v>
      </c>
      <c r="J4">
        <v>0</v>
      </c>
      <c r="K4">
        <v>0</v>
      </c>
    </row>
    <row r="5" spans="1:11" x14ac:dyDescent="0.35">
      <c r="A5" t="str">
        <f>NFFT_M4[[#This Row],[country]]&amp; " "&amp;NFFT_M4[[#This Row],[cluster]]</f>
        <v>Papua New Guinea 1</v>
      </c>
      <c r="B5" t="s">
        <v>3</v>
      </c>
      <c r="C5">
        <v>1</v>
      </c>
      <c r="D5">
        <v>2.11</v>
      </c>
      <c r="E5">
        <v>330.02857139999998</v>
      </c>
      <c r="F5">
        <v>141</v>
      </c>
      <c r="G5">
        <v>46204</v>
      </c>
      <c r="H5">
        <v>60</v>
      </c>
      <c r="I5">
        <v>0.101827271</v>
      </c>
      <c r="J5">
        <v>42</v>
      </c>
      <c r="K5">
        <v>3.0118966139999999</v>
      </c>
    </row>
    <row r="6" spans="1:11" x14ac:dyDescent="0.35">
      <c r="A6" t="str">
        <f>NFFT_M4[[#This Row],[country]]&amp; " "&amp;NFFT_M4[[#This Row],[cluster]]</f>
        <v>Papua New Guinea 2</v>
      </c>
      <c r="B6" t="s">
        <v>3</v>
      </c>
      <c r="C6">
        <v>2</v>
      </c>
      <c r="D6">
        <v>1.2310000000000001</v>
      </c>
      <c r="E6">
        <v>454.24137930000001</v>
      </c>
      <c r="F6">
        <v>59</v>
      </c>
      <c r="G6">
        <v>26346</v>
      </c>
      <c r="H6">
        <v>58.620689659999996</v>
      </c>
      <c r="I6">
        <v>0.209156285</v>
      </c>
      <c r="J6">
        <v>17</v>
      </c>
      <c r="K6">
        <v>4.2430245199999996</v>
      </c>
    </row>
    <row r="7" spans="1:11" x14ac:dyDescent="0.35">
      <c r="A7" t="str">
        <f>NFFT_M4[[#This Row],[country]]&amp; " "&amp;NFFT_M4[[#This Row],[cluster]]</f>
        <v>Papua New Guinea 3</v>
      </c>
      <c r="B7" t="s">
        <v>3</v>
      </c>
      <c r="C7">
        <v>3</v>
      </c>
      <c r="D7">
        <v>2.3730000000000002</v>
      </c>
      <c r="E7">
        <v>826.97916669999995</v>
      </c>
      <c r="F7">
        <v>49</v>
      </c>
      <c r="G7">
        <v>39695</v>
      </c>
      <c r="H7">
        <v>45.833333330000002</v>
      </c>
      <c r="I7">
        <v>0.10459078300000001</v>
      </c>
      <c r="J7">
        <v>11</v>
      </c>
      <c r="K7">
        <v>9.8799079089999999</v>
      </c>
    </row>
    <row r="8" spans="1:11" x14ac:dyDescent="0.35">
      <c r="A8" t="str">
        <f>NFFT_M4[[#This Row],[country]]&amp; " "&amp;NFFT_M4[[#This Row],[cluster]]</f>
        <v>Philippines 1</v>
      </c>
      <c r="B8" t="s">
        <v>4</v>
      </c>
      <c r="C8">
        <v>1</v>
      </c>
      <c r="D8">
        <v>1.6020000000000001</v>
      </c>
      <c r="E8">
        <v>315.73611110000002</v>
      </c>
      <c r="F8">
        <v>145</v>
      </c>
      <c r="G8">
        <v>45466</v>
      </c>
      <c r="H8">
        <v>77.777777779999994</v>
      </c>
      <c r="I8">
        <v>0.19507018000000001</v>
      </c>
      <c r="J8">
        <v>56</v>
      </c>
      <c r="K8">
        <v>2.2228414980000002</v>
      </c>
    </row>
    <row r="9" spans="1:11" x14ac:dyDescent="0.35">
      <c r="A9" t="str">
        <f>NFFT_M4[[#This Row],[country]]&amp; " "&amp;NFFT_M4[[#This Row],[cluster]]</f>
        <v>Philippines 2</v>
      </c>
      <c r="B9" t="s">
        <v>4</v>
      </c>
      <c r="C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tr">
        <f>NFFT_M4[[#This Row],[country]]&amp; " "&amp;NFFT_M4[[#This Row],[cluster]]</f>
        <v>Tonga 1</v>
      </c>
      <c r="B10" t="s">
        <v>5</v>
      </c>
      <c r="C10">
        <v>1</v>
      </c>
      <c r="D10">
        <v>1.431</v>
      </c>
      <c r="E10">
        <v>348.875969</v>
      </c>
      <c r="F10">
        <v>130</v>
      </c>
      <c r="G10">
        <v>45005</v>
      </c>
      <c r="H10">
        <v>86.153846150000007</v>
      </c>
      <c r="I10">
        <v>0.150459554</v>
      </c>
      <c r="J10">
        <v>56</v>
      </c>
      <c r="K10">
        <v>2.200303119</v>
      </c>
    </row>
    <row r="11" spans="1:11" x14ac:dyDescent="0.35">
      <c r="A11" t="str">
        <f>NFFT_M4[[#This Row],[country]]&amp; " "&amp;NFFT_M4[[#This Row],[cluster]]</f>
        <v>USA 1</v>
      </c>
      <c r="B11" t="s">
        <v>6</v>
      </c>
      <c r="C11">
        <v>1</v>
      </c>
      <c r="D11">
        <v>2.0910000000000002</v>
      </c>
      <c r="E11">
        <v>327.1571429</v>
      </c>
      <c r="F11">
        <v>141</v>
      </c>
      <c r="G11">
        <v>45802</v>
      </c>
      <c r="H11">
        <v>60</v>
      </c>
      <c r="I11">
        <v>0.16495631799999999</v>
      </c>
      <c r="J11">
        <v>42</v>
      </c>
      <c r="K11">
        <v>2.9856914699999999</v>
      </c>
    </row>
    <row r="12" spans="1:11" x14ac:dyDescent="0.35">
      <c r="A12" t="str">
        <f>NFFT_M4[[#This Row],[country]]&amp; " "&amp;NFFT_M4[[#This Row],[cluster]]</f>
        <v>USA 2</v>
      </c>
      <c r="B12" t="s">
        <v>6</v>
      </c>
      <c r="C12">
        <v>2</v>
      </c>
      <c r="D12">
        <v>1.6819999999999999</v>
      </c>
      <c r="E12">
        <v>319.82638889999998</v>
      </c>
      <c r="F12">
        <v>145</v>
      </c>
      <c r="G12">
        <v>46055</v>
      </c>
      <c r="H12">
        <v>75</v>
      </c>
      <c r="I12">
        <v>0.232596043</v>
      </c>
      <c r="J12">
        <v>54</v>
      </c>
      <c r="K12">
        <v>2.3350318149999998</v>
      </c>
    </row>
    <row r="13" spans="1:11" x14ac:dyDescent="0.35">
      <c r="A13" t="str">
        <f>NFFT_M4[[#This Row],[country]]&amp; " "&amp;NFFT_M4[[#This Row],[cluster]]</f>
        <v>USA 3</v>
      </c>
      <c r="B13" t="s">
        <v>6</v>
      </c>
      <c r="C13">
        <v>3</v>
      </c>
      <c r="D13">
        <v>1.746</v>
      </c>
      <c r="E13">
        <v>349.62790699999999</v>
      </c>
      <c r="F13">
        <v>130</v>
      </c>
      <c r="G13">
        <v>45102</v>
      </c>
      <c r="H13">
        <v>70.769230769999993</v>
      </c>
      <c r="I13">
        <v>0.13246328399999999</v>
      </c>
      <c r="J13">
        <v>46</v>
      </c>
      <c r="K13">
        <v>2.6844031780000002</v>
      </c>
    </row>
    <row r="14" spans="1:11" x14ac:dyDescent="0.35">
      <c r="A14" t="str">
        <f>NFFT_M4[[#This Row],[country]]&amp; " "&amp;NFFT_M4[[#This Row],[cluster]]</f>
        <v>Mexico 1</v>
      </c>
      <c r="B14" t="s">
        <v>7</v>
      </c>
      <c r="C14">
        <v>1</v>
      </c>
      <c r="D14">
        <v>2.4809999999999999</v>
      </c>
      <c r="E14">
        <v>365.10317459999999</v>
      </c>
      <c r="F14">
        <v>127</v>
      </c>
      <c r="G14">
        <v>46003</v>
      </c>
      <c r="H14">
        <v>50.793650790000001</v>
      </c>
      <c r="I14">
        <v>0.16985697399999999</v>
      </c>
      <c r="J14">
        <v>32</v>
      </c>
      <c r="K14">
        <v>3.9359171800000001</v>
      </c>
    </row>
    <row r="15" spans="1:11" x14ac:dyDescent="0.35">
      <c r="A15" t="str">
        <f>NFFT_M4[[#This Row],[country]]&amp; " "&amp;NFFT_M4[[#This Row],[cluster]]</f>
        <v>Mexico 2</v>
      </c>
      <c r="B15" t="s">
        <v>7</v>
      </c>
      <c r="C15">
        <v>2</v>
      </c>
      <c r="D15">
        <v>2.4329999999999998</v>
      </c>
      <c r="E15">
        <v>369.88524589999997</v>
      </c>
      <c r="F15">
        <v>123</v>
      </c>
      <c r="G15">
        <v>45126</v>
      </c>
      <c r="H15">
        <v>50.819672130000001</v>
      </c>
      <c r="I15">
        <v>0.199992265</v>
      </c>
      <c r="J15">
        <v>31</v>
      </c>
      <c r="K15">
        <v>3.985427568</v>
      </c>
    </row>
    <row r="16" spans="1:11" x14ac:dyDescent="0.35">
      <c r="A16" t="str">
        <f>NFFT_M4[[#This Row],[country]]&amp; " "&amp;NFFT_M4[[#This Row],[cluster]]</f>
        <v>Mexico 3</v>
      </c>
      <c r="B16" t="s">
        <v>7</v>
      </c>
      <c r="C16">
        <v>3</v>
      </c>
      <c r="D16">
        <v>1.85</v>
      </c>
      <c r="E16">
        <v>560.375</v>
      </c>
      <c r="F16">
        <v>65</v>
      </c>
      <c r="G16">
        <v>35864</v>
      </c>
      <c r="H16">
        <v>53.125</v>
      </c>
      <c r="I16">
        <v>0.157040081</v>
      </c>
      <c r="J16">
        <v>17</v>
      </c>
      <c r="K16">
        <v>5.7758988609999999</v>
      </c>
    </row>
    <row r="17" spans="1:11" x14ac:dyDescent="0.35">
      <c r="A17" t="str">
        <f>NFFT_M4[[#This Row],[country]]&amp; " "&amp;NFFT_M4[[#This Row],[cluster]]</f>
        <v>Canada 1</v>
      </c>
      <c r="B17" t="s">
        <v>8</v>
      </c>
      <c r="C17">
        <v>1</v>
      </c>
      <c r="D17">
        <v>2.8290000000000002</v>
      </c>
      <c r="E17">
        <v>430.03061220000001</v>
      </c>
      <c r="F17">
        <v>99</v>
      </c>
      <c r="G17">
        <v>42143</v>
      </c>
      <c r="H17">
        <v>40.816326529999998</v>
      </c>
      <c r="I17">
        <v>0.19901054900000001</v>
      </c>
      <c r="J17">
        <v>20</v>
      </c>
      <c r="K17">
        <v>5.7690622859999996</v>
      </c>
    </row>
    <row r="18" spans="1:11" x14ac:dyDescent="0.35">
      <c r="A18" t="str">
        <f>NFFT_M4[[#This Row],[country]]&amp; " "&amp;NFFT_M4[[#This Row],[cluster]]</f>
        <v>Canada 2</v>
      </c>
      <c r="B18" t="s">
        <v>8</v>
      </c>
      <c r="C18">
        <v>2</v>
      </c>
      <c r="D18">
        <v>1.7569999999999999</v>
      </c>
      <c r="E18">
        <v>666.91304349999996</v>
      </c>
      <c r="F18">
        <v>47</v>
      </c>
      <c r="G18">
        <v>30678</v>
      </c>
      <c r="H18">
        <v>47.826086959999998</v>
      </c>
      <c r="I18">
        <v>0.148565843</v>
      </c>
      <c r="J18">
        <v>11</v>
      </c>
      <c r="K18">
        <v>7.6356169500000002</v>
      </c>
    </row>
    <row r="19" spans="1:11" x14ac:dyDescent="0.35">
      <c r="A19" t="str">
        <f>NFFT_M4[[#This Row],[country]]&amp; " "&amp;NFFT_M4[[#This Row],[cluster]]</f>
        <v>Canada 3</v>
      </c>
      <c r="B19" t="s">
        <v>8</v>
      </c>
      <c r="C19">
        <v>3</v>
      </c>
      <c r="D19">
        <v>2.423</v>
      </c>
      <c r="E19">
        <v>931</v>
      </c>
      <c r="F19">
        <v>20</v>
      </c>
      <c r="G19">
        <v>17689</v>
      </c>
      <c r="H19">
        <v>20</v>
      </c>
      <c r="I19">
        <v>0.73989738000000005</v>
      </c>
      <c r="J19">
        <v>2</v>
      </c>
      <c r="K19">
        <v>24.214921289999999</v>
      </c>
    </row>
    <row r="20" spans="1:11" x14ac:dyDescent="0.35">
      <c r="A20" t="str">
        <f>NFFT_M4[[#This Row],[country]]&amp; " "&amp;NFFT_M4[[#This Row],[cluster]]</f>
        <v>Guatemala 1</v>
      </c>
      <c r="B20" t="s">
        <v>9</v>
      </c>
      <c r="C20">
        <v>1</v>
      </c>
      <c r="D20">
        <v>2.0710000000000002</v>
      </c>
      <c r="E20">
        <v>458.1313131</v>
      </c>
      <c r="F20">
        <v>100</v>
      </c>
      <c r="G20">
        <v>45355</v>
      </c>
      <c r="H20">
        <v>60</v>
      </c>
      <c r="I20">
        <v>0.135241903</v>
      </c>
      <c r="J20">
        <v>30</v>
      </c>
      <c r="K20">
        <v>4.1391740820000003</v>
      </c>
    </row>
    <row r="21" spans="1:11" x14ac:dyDescent="0.35">
      <c r="A21" t="str">
        <f>NFFT_M4[[#This Row],[country]]&amp; " "&amp;NFFT_M4[[#This Row],[cluster]]</f>
        <v>Guatemala 2</v>
      </c>
      <c r="B21" t="s">
        <v>9</v>
      </c>
      <c r="C21">
        <v>2</v>
      </c>
      <c r="E21">
        <v>2186.9473680000001</v>
      </c>
      <c r="F21">
        <v>20</v>
      </c>
      <c r="G21">
        <v>41552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 t="str">
        <f>NFFT_M4[[#This Row],[country]]&amp; " "&amp;NFFT_M4[[#This Row],[cluster]]</f>
        <v>Russia 1</v>
      </c>
      <c r="B22" t="s">
        <v>10</v>
      </c>
      <c r="C22">
        <v>1</v>
      </c>
      <c r="D22">
        <v>1.54</v>
      </c>
      <c r="E22">
        <v>306.91946309999997</v>
      </c>
      <c r="F22">
        <v>150</v>
      </c>
      <c r="G22">
        <v>45731</v>
      </c>
      <c r="H22">
        <v>81.333333330000002</v>
      </c>
      <c r="I22">
        <v>0.115208879</v>
      </c>
      <c r="J22">
        <v>61</v>
      </c>
      <c r="K22">
        <v>2.0525353169999998</v>
      </c>
    </row>
    <row r="23" spans="1:11" x14ac:dyDescent="0.35">
      <c r="A23" t="str">
        <f>NFFT_M4[[#This Row],[country]]&amp; " "&amp;NFFT_M4[[#This Row],[cluster]]</f>
        <v>Russia 2</v>
      </c>
      <c r="B23" t="s">
        <v>10</v>
      </c>
      <c r="C23">
        <v>2</v>
      </c>
      <c r="D23">
        <v>2.395</v>
      </c>
      <c r="E23">
        <v>605.28947370000003</v>
      </c>
      <c r="F23">
        <v>77</v>
      </c>
      <c r="G23">
        <v>46002</v>
      </c>
      <c r="H23">
        <v>52.631578949999998</v>
      </c>
      <c r="I23">
        <v>0.12754726899999999</v>
      </c>
      <c r="J23">
        <v>20</v>
      </c>
      <c r="K23">
        <v>6.297330595</v>
      </c>
    </row>
    <row r="24" spans="1:11" x14ac:dyDescent="0.35">
      <c r="A24" t="str">
        <f>NFFT_M4[[#This Row],[country]]&amp; " "&amp;NFFT_M4[[#This Row],[cluster]]</f>
        <v>Russia 3</v>
      </c>
      <c r="B24" t="s">
        <v>10</v>
      </c>
      <c r="C24">
        <v>3</v>
      </c>
      <c r="D24">
        <v>2.472</v>
      </c>
      <c r="E24">
        <v>715.81967210000005</v>
      </c>
      <c r="F24">
        <v>62</v>
      </c>
      <c r="G24">
        <v>43665</v>
      </c>
      <c r="H24">
        <v>48.387096769999999</v>
      </c>
      <c r="I24">
        <v>0.16217158100000001</v>
      </c>
      <c r="J24">
        <v>15</v>
      </c>
      <c r="K24">
        <v>7.969883641</v>
      </c>
    </row>
    <row r="25" spans="1:11" x14ac:dyDescent="0.35">
      <c r="A25" t="str">
        <f>NFFT_M4[[#This Row],[country]]&amp; " "&amp;NFFT_M4[[#This Row],[cluster]]</f>
        <v>China 1</v>
      </c>
      <c r="B25" t="s">
        <v>11</v>
      </c>
      <c r="C25">
        <v>1</v>
      </c>
      <c r="D25">
        <v>2.6219999999999999</v>
      </c>
      <c r="E25">
        <v>445.8415842</v>
      </c>
      <c r="F25">
        <v>102</v>
      </c>
      <c r="G25">
        <v>45030</v>
      </c>
      <c r="H25">
        <v>47.058823529999998</v>
      </c>
      <c r="I25">
        <v>0.101601998</v>
      </c>
      <c r="J25">
        <v>24</v>
      </c>
      <c r="K25">
        <v>5.1368925389999998</v>
      </c>
    </row>
    <row r="26" spans="1:11" x14ac:dyDescent="0.35">
      <c r="A26" t="str">
        <f>NFFT_M4[[#This Row],[country]]&amp; " "&amp;NFFT_M4[[#This Row],[cluster]]</f>
        <v>China 2</v>
      </c>
      <c r="B26" t="s">
        <v>11</v>
      </c>
      <c r="C26">
        <v>2</v>
      </c>
      <c r="D26">
        <v>2.0169999999999999</v>
      </c>
      <c r="E26">
        <v>545.02739729999996</v>
      </c>
      <c r="F26">
        <v>74</v>
      </c>
      <c r="G26">
        <v>39787</v>
      </c>
      <c r="H26">
        <v>54.054054049999998</v>
      </c>
      <c r="I26">
        <v>0.14847975599999999</v>
      </c>
      <c r="J26">
        <v>20</v>
      </c>
      <c r="K26">
        <v>5.4465434630000003</v>
      </c>
    </row>
    <row r="27" spans="1:11" x14ac:dyDescent="0.35">
      <c r="A27" t="str">
        <f>NFFT_M4[[#This Row],[country]]&amp; " "&amp;NFFT_M4[[#This Row],[cluster]]</f>
        <v>China 3</v>
      </c>
      <c r="B27" t="s">
        <v>11</v>
      </c>
      <c r="C27">
        <v>3</v>
      </c>
      <c r="D27">
        <v>2.024</v>
      </c>
      <c r="E27">
        <v>512.97222220000003</v>
      </c>
      <c r="F27">
        <v>73</v>
      </c>
      <c r="G27">
        <v>36934</v>
      </c>
      <c r="H27">
        <v>50</v>
      </c>
      <c r="I27">
        <v>0.173776132</v>
      </c>
      <c r="J27">
        <v>18</v>
      </c>
      <c r="K27">
        <v>5.6177656100000002</v>
      </c>
    </row>
    <row r="28" spans="1:11" x14ac:dyDescent="0.35">
      <c r="A28" t="str">
        <f>NFFT_M4[[#This Row],[country]]&amp; " "&amp;NFFT_M4[[#This Row],[cluster]]</f>
        <v>India 1</v>
      </c>
      <c r="B28" t="s">
        <v>12</v>
      </c>
      <c r="C28">
        <v>1</v>
      </c>
      <c r="D28">
        <v>2.661</v>
      </c>
      <c r="E28">
        <v>433.67326730000002</v>
      </c>
      <c r="F28">
        <v>102</v>
      </c>
      <c r="G28">
        <v>43801</v>
      </c>
      <c r="H28">
        <v>45.098039219999997</v>
      </c>
      <c r="I28">
        <v>0.119336498</v>
      </c>
      <c r="J28">
        <v>23</v>
      </c>
      <c r="K28">
        <v>5.2139392320000004</v>
      </c>
    </row>
    <row r="29" spans="1:11" x14ac:dyDescent="0.35">
      <c r="A29" t="str">
        <f>NFFT_M4[[#This Row],[country]]&amp; " "&amp;NFFT_M4[[#This Row],[cluster]]</f>
        <v>India 2</v>
      </c>
      <c r="B29" t="s">
        <v>12</v>
      </c>
      <c r="C29">
        <v>2</v>
      </c>
      <c r="D29">
        <v>2.1179999999999999</v>
      </c>
      <c r="E29">
        <v>416.72380950000002</v>
      </c>
      <c r="F29">
        <v>106</v>
      </c>
      <c r="G29">
        <v>43756</v>
      </c>
      <c r="H29">
        <v>56.603773580000002</v>
      </c>
      <c r="I29">
        <v>0.11678401099999999</v>
      </c>
      <c r="J29">
        <v>30</v>
      </c>
      <c r="K29">
        <v>3.9932466350000002</v>
      </c>
    </row>
    <row r="30" spans="1:11" x14ac:dyDescent="0.35">
      <c r="A30" t="str">
        <f>NFFT_M4[[#This Row],[country]]&amp; " "&amp;NFFT_M4[[#This Row],[cluster]]</f>
        <v>India 3</v>
      </c>
      <c r="B30" t="s">
        <v>12</v>
      </c>
      <c r="C30">
        <v>3</v>
      </c>
      <c r="D30">
        <v>2.8290000000000002</v>
      </c>
      <c r="E30">
        <v>533.21686750000003</v>
      </c>
      <c r="F30">
        <v>84</v>
      </c>
      <c r="G30">
        <v>44257</v>
      </c>
      <c r="H30">
        <v>42.857142860000003</v>
      </c>
      <c r="I30">
        <v>0.120621065</v>
      </c>
      <c r="J30">
        <v>18</v>
      </c>
      <c r="K30">
        <v>6.7316145709999997</v>
      </c>
    </row>
    <row r="31" spans="1:11" x14ac:dyDescent="0.35">
      <c r="A31" t="str">
        <f>NFFT_M4[[#This Row],[country]]&amp; " "&amp;NFFT_M4[[#This Row],[cluster]]</f>
        <v>Iran 1</v>
      </c>
      <c r="B31" t="s">
        <v>13</v>
      </c>
      <c r="C31">
        <v>1</v>
      </c>
      <c r="D31">
        <v>2.157</v>
      </c>
      <c r="E31">
        <v>387.79824559999997</v>
      </c>
      <c r="F31">
        <v>115</v>
      </c>
      <c r="G31">
        <v>44209</v>
      </c>
      <c r="H31">
        <v>56.14035088</v>
      </c>
      <c r="I31">
        <v>0.101081078</v>
      </c>
      <c r="J31">
        <v>32</v>
      </c>
      <c r="K31">
        <v>3.7824264200000002</v>
      </c>
    </row>
    <row r="32" spans="1:11" x14ac:dyDescent="0.35">
      <c r="A32" t="str">
        <f>NFFT_M4[[#This Row],[country]]&amp; " "&amp;NFFT_M4[[#This Row],[cluster]]</f>
        <v>Iran 2</v>
      </c>
      <c r="B32" t="s">
        <v>13</v>
      </c>
      <c r="C32">
        <v>2</v>
      </c>
      <c r="D32">
        <v>2.2360000000000002</v>
      </c>
      <c r="E32">
        <v>513.65753419999999</v>
      </c>
      <c r="F32">
        <v>74</v>
      </c>
      <c r="G32">
        <v>37497</v>
      </c>
      <c r="H32">
        <v>45.945945950000002</v>
      </c>
      <c r="I32">
        <v>0.14219274400000001</v>
      </c>
      <c r="J32">
        <v>17</v>
      </c>
      <c r="K32">
        <v>6.0388935860000004</v>
      </c>
    </row>
    <row r="33" spans="1:11" x14ac:dyDescent="0.35">
      <c r="A33" t="str">
        <f>NFFT_M4[[#This Row],[country]]&amp; " "&amp;NFFT_M4[[#This Row],[cluster]]</f>
        <v>Iran 3</v>
      </c>
      <c r="B33" t="s">
        <v>13</v>
      </c>
      <c r="C33">
        <v>3</v>
      </c>
      <c r="D33">
        <v>2.222</v>
      </c>
      <c r="E33">
        <v>686.26229509999996</v>
      </c>
      <c r="F33">
        <v>62</v>
      </c>
      <c r="G33">
        <v>41862</v>
      </c>
      <c r="H33">
        <v>51.612903230000001</v>
      </c>
      <c r="I33">
        <v>6.5360640999999997E-2</v>
      </c>
      <c r="J33">
        <v>16</v>
      </c>
      <c r="K33">
        <v>7.1632443529999996</v>
      </c>
    </row>
    <row r="34" spans="1:11" x14ac:dyDescent="0.35">
      <c r="A34" t="str">
        <f>NFFT_M4[[#This Row],[country]]&amp; " "&amp;NFFT_M4[[#This Row],[cluster]]</f>
        <v>Nicaragua 1</v>
      </c>
      <c r="B34" t="s">
        <v>14</v>
      </c>
      <c r="C34">
        <v>1</v>
      </c>
      <c r="D34">
        <v>2.2690000000000001</v>
      </c>
      <c r="E34">
        <v>445.68627450000002</v>
      </c>
      <c r="F34">
        <v>103</v>
      </c>
      <c r="G34">
        <v>45460</v>
      </c>
      <c r="H34">
        <v>54.901960780000003</v>
      </c>
      <c r="I34">
        <v>8.6088210999999998E-2</v>
      </c>
      <c r="J34">
        <v>28</v>
      </c>
      <c r="K34">
        <v>4.4450963139999997</v>
      </c>
    </row>
    <row r="35" spans="1:11" x14ac:dyDescent="0.35">
      <c r="A35" t="str">
        <f>NFFT_M4[[#This Row],[country]]&amp; " "&amp;NFFT_M4[[#This Row],[cluster]]</f>
        <v>El Salvador 1</v>
      </c>
      <c r="B35" t="s">
        <v>15</v>
      </c>
      <c r="C35">
        <v>1</v>
      </c>
      <c r="D35">
        <v>2.6869999999999998</v>
      </c>
      <c r="E35">
        <v>508.56666669999998</v>
      </c>
      <c r="F35">
        <v>91</v>
      </c>
      <c r="G35">
        <v>45771</v>
      </c>
      <c r="H35">
        <v>46.666666669999998</v>
      </c>
      <c r="I35">
        <v>0.121017548</v>
      </c>
      <c r="J35">
        <v>21</v>
      </c>
      <c r="K35">
        <v>5.967341351</v>
      </c>
    </row>
    <row r="36" spans="1:11" x14ac:dyDescent="0.35">
      <c r="A36" t="str">
        <f>NFFT_M4[[#This Row],[country]]&amp; " "&amp;NFFT_M4[[#This Row],[cluster]]</f>
        <v>Costa Rica 1</v>
      </c>
      <c r="B36" t="s">
        <v>16</v>
      </c>
      <c r="C36">
        <v>1</v>
      </c>
      <c r="D36">
        <v>2.6720000000000002</v>
      </c>
      <c r="E36">
        <v>471.94845359999999</v>
      </c>
      <c r="F36">
        <v>98</v>
      </c>
      <c r="G36">
        <v>45779</v>
      </c>
      <c r="H36">
        <v>46.938775509999999</v>
      </c>
      <c r="I36">
        <v>0.15446795899999999</v>
      </c>
      <c r="J36">
        <v>23</v>
      </c>
      <c r="K36">
        <v>5.449394399</v>
      </c>
    </row>
    <row r="37" spans="1:11" x14ac:dyDescent="0.35">
      <c r="A37" t="str">
        <f>NFFT_M4[[#This Row],[country]]&amp; " "&amp;NFFT_M4[[#This Row],[cluster]]</f>
        <v>Dominican 1</v>
      </c>
      <c r="B37" t="s">
        <v>17</v>
      </c>
      <c r="C37">
        <v>1</v>
      </c>
      <c r="D37">
        <v>2.0529999999999999</v>
      </c>
      <c r="E37">
        <v>488.40476189999998</v>
      </c>
      <c r="F37">
        <v>85</v>
      </c>
      <c r="G37">
        <v>41026</v>
      </c>
      <c r="H37">
        <v>54.76190476</v>
      </c>
      <c r="I37">
        <v>9.8894141000000005E-2</v>
      </c>
      <c r="J37">
        <v>23</v>
      </c>
      <c r="K37">
        <v>4.8836115820000003</v>
      </c>
    </row>
    <row r="38" spans="1:11" x14ac:dyDescent="0.35">
      <c r="A38" t="str">
        <f>NFFT_M4[[#This Row],[country]]&amp; " "&amp;NFFT_M4[[#This Row],[cluster]]</f>
        <v>Dominican 2</v>
      </c>
      <c r="B38" t="s">
        <v>17</v>
      </c>
      <c r="C38">
        <v>2</v>
      </c>
      <c r="E38">
        <v>1447</v>
      </c>
      <c r="F38">
        <v>13</v>
      </c>
      <c r="G38">
        <v>17364</v>
      </c>
      <c r="H38">
        <v>0</v>
      </c>
      <c r="I38">
        <v>0</v>
      </c>
      <c r="J38">
        <v>0</v>
      </c>
      <c r="K38">
        <v>0</v>
      </c>
    </row>
    <row r="39" spans="1:11" x14ac:dyDescent="0.35">
      <c r="A39" t="str">
        <f>NFFT_M4[[#This Row],[country]]&amp; " "&amp;NFFT_M4[[#This Row],[cluster]]</f>
        <v>Chile 1</v>
      </c>
      <c r="B39" t="s">
        <v>18</v>
      </c>
      <c r="C39">
        <v>1</v>
      </c>
      <c r="D39">
        <v>1.8919999999999999</v>
      </c>
      <c r="E39">
        <v>345.94573639999999</v>
      </c>
      <c r="F39">
        <v>130</v>
      </c>
      <c r="G39">
        <v>44627</v>
      </c>
      <c r="H39">
        <v>64.61538462</v>
      </c>
      <c r="I39">
        <v>0.134343767</v>
      </c>
      <c r="J39">
        <v>42</v>
      </c>
      <c r="K39">
        <v>2.9090968350000002</v>
      </c>
    </row>
    <row r="40" spans="1:11" x14ac:dyDescent="0.35">
      <c r="A40" t="str">
        <f>NFFT_M4[[#This Row],[country]]&amp; " "&amp;NFFT_M4[[#This Row],[cluster]]</f>
        <v>Chile 2</v>
      </c>
      <c r="B40" t="s">
        <v>18</v>
      </c>
      <c r="C40">
        <v>2</v>
      </c>
      <c r="D40">
        <v>1.748</v>
      </c>
      <c r="E40">
        <v>423.88607589999998</v>
      </c>
      <c r="F40">
        <v>80</v>
      </c>
      <c r="G40">
        <v>33487</v>
      </c>
      <c r="H40">
        <v>52.5</v>
      </c>
      <c r="I40">
        <v>0.152658295</v>
      </c>
      <c r="J40">
        <v>21</v>
      </c>
      <c r="K40">
        <v>4.3658290150000001</v>
      </c>
    </row>
    <row r="41" spans="1:11" x14ac:dyDescent="0.35">
      <c r="A41" t="str">
        <f>NFFT_M4[[#This Row],[country]]&amp; " "&amp;NFFT_M4[[#This Row],[cluster]]</f>
        <v>Chile 3</v>
      </c>
      <c r="B41" t="s">
        <v>18</v>
      </c>
      <c r="C41">
        <v>3</v>
      </c>
      <c r="D41">
        <v>2.1190000000000002</v>
      </c>
      <c r="E41">
        <v>543.20895519999999</v>
      </c>
      <c r="F41">
        <v>68</v>
      </c>
      <c r="G41">
        <v>36395</v>
      </c>
      <c r="H41">
        <v>47.058823529999998</v>
      </c>
      <c r="I41">
        <v>7.9839193000000003E-2</v>
      </c>
      <c r="J41">
        <v>16</v>
      </c>
      <c r="K41">
        <v>6.2277549619999997</v>
      </c>
    </row>
    <row r="42" spans="1:11" x14ac:dyDescent="0.35">
      <c r="A42" t="str">
        <f>NFFT_M4[[#This Row],[country]]&amp; " "&amp;NFFT_M4[[#This Row],[cluster]]</f>
        <v>Argentina 1</v>
      </c>
      <c r="B42" t="s">
        <v>19</v>
      </c>
      <c r="C42">
        <v>1</v>
      </c>
      <c r="D42">
        <v>2.2949999999999999</v>
      </c>
      <c r="E42">
        <v>502.03896099999997</v>
      </c>
      <c r="F42">
        <v>78</v>
      </c>
      <c r="G42">
        <v>38657</v>
      </c>
      <c r="H42">
        <v>46.15384615</v>
      </c>
      <c r="I42">
        <v>0.13012821899999999</v>
      </c>
      <c r="J42">
        <v>18</v>
      </c>
      <c r="K42">
        <v>5.8798387710000002</v>
      </c>
    </row>
    <row r="43" spans="1:11" x14ac:dyDescent="0.35">
      <c r="A43" t="str">
        <f>NFFT_M4[[#This Row],[country]]&amp; " "&amp;NFFT_M4[[#This Row],[cluster]]</f>
        <v>Argentina 2</v>
      </c>
      <c r="B43" t="s">
        <v>19</v>
      </c>
      <c r="C43">
        <v>2</v>
      </c>
      <c r="D43">
        <v>2.4870000000000001</v>
      </c>
      <c r="E43">
        <v>526.15942029999997</v>
      </c>
      <c r="F43">
        <v>70</v>
      </c>
      <c r="G43">
        <v>36305</v>
      </c>
      <c r="H43">
        <v>40</v>
      </c>
      <c r="I43">
        <v>0.17039183299999999</v>
      </c>
      <c r="J43">
        <v>14</v>
      </c>
      <c r="K43">
        <v>7.0998337730000003</v>
      </c>
    </row>
    <row r="44" spans="1:11" x14ac:dyDescent="0.35">
      <c r="A44" t="str">
        <f>NFFT_M4[[#This Row],[country]]&amp; " "&amp;NFFT_M4[[#This Row],[cluster]]</f>
        <v>Argentina 3</v>
      </c>
      <c r="B44" t="s">
        <v>19</v>
      </c>
      <c r="C44">
        <v>3</v>
      </c>
      <c r="D44">
        <v>1.9570000000000001</v>
      </c>
      <c r="E44">
        <v>668.90322579999997</v>
      </c>
      <c r="F44">
        <v>63</v>
      </c>
      <c r="G44">
        <v>41472</v>
      </c>
      <c r="H44">
        <v>58.064516130000001</v>
      </c>
      <c r="I44">
        <v>0.177484841</v>
      </c>
      <c r="J44">
        <v>18</v>
      </c>
      <c r="K44">
        <v>6.308008214</v>
      </c>
    </row>
    <row r="45" spans="1:11" x14ac:dyDescent="0.35">
      <c r="A45" t="str">
        <f>NFFT_M4[[#This Row],[country]]&amp; " "&amp;NFFT_M4[[#This Row],[cluster]]</f>
        <v>Peru 1</v>
      </c>
      <c r="B45" t="s">
        <v>20</v>
      </c>
      <c r="C45">
        <v>1</v>
      </c>
      <c r="D45">
        <v>2.57</v>
      </c>
      <c r="E45">
        <v>388.89285710000001</v>
      </c>
      <c r="F45">
        <v>113</v>
      </c>
      <c r="G45">
        <v>43556</v>
      </c>
      <c r="H45">
        <v>46.428571429999998</v>
      </c>
      <c r="I45">
        <v>0.21466532999999999</v>
      </c>
      <c r="J45">
        <v>26</v>
      </c>
      <c r="K45">
        <v>4.5865318799999999</v>
      </c>
    </row>
    <row r="46" spans="1:11" x14ac:dyDescent="0.35">
      <c r="A46" t="str">
        <f>NFFT_M4[[#This Row],[country]]&amp; " "&amp;NFFT_M4[[#This Row],[cluster]]</f>
        <v>Peru 2</v>
      </c>
      <c r="B46" t="s">
        <v>20</v>
      </c>
      <c r="C46">
        <v>2</v>
      </c>
      <c r="E46">
        <v>1025.7222220000001</v>
      </c>
      <c r="F46">
        <v>19</v>
      </c>
      <c r="G46">
        <v>18463</v>
      </c>
      <c r="H46">
        <v>0</v>
      </c>
      <c r="I46">
        <v>0</v>
      </c>
      <c r="J46">
        <v>0</v>
      </c>
      <c r="K46">
        <v>0</v>
      </c>
    </row>
    <row r="47" spans="1:11" x14ac:dyDescent="0.35">
      <c r="A47" t="str">
        <f>NFFT_M4[[#This Row],[country]]&amp; " "&amp;NFFT_M4[[#This Row],[cluster]]</f>
        <v>Peru 3</v>
      </c>
      <c r="B47" t="s">
        <v>20</v>
      </c>
      <c r="C47">
        <v>3</v>
      </c>
      <c r="E47">
        <v>2639.461538</v>
      </c>
      <c r="F47">
        <v>14</v>
      </c>
      <c r="G47">
        <v>34313</v>
      </c>
      <c r="H47">
        <v>0</v>
      </c>
      <c r="I47">
        <v>0</v>
      </c>
      <c r="J47">
        <v>0</v>
      </c>
      <c r="K47">
        <v>0</v>
      </c>
    </row>
    <row r="48" spans="1:11" x14ac:dyDescent="0.35">
      <c r="A48" t="str">
        <f>NFFT_M4[[#This Row],[country]]&amp; " "&amp;NFFT_M4[[#This Row],[cluster]]</f>
        <v>Colombia 1</v>
      </c>
      <c r="B48" t="s">
        <v>21</v>
      </c>
      <c r="C48">
        <v>1</v>
      </c>
      <c r="D48">
        <v>2.2029999999999998</v>
      </c>
      <c r="E48">
        <v>554.97435900000005</v>
      </c>
      <c r="F48">
        <v>79</v>
      </c>
      <c r="G48">
        <v>43288</v>
      </c>
      <c r="H48">
        <v>53.84615385</v>
      </c>
      <c r="I48">
        <v>0.117332859</v>
      </c>
      <c r="J48">
        <v>21</v>
      </c>
      <c r="K48">
        <v>5.6436230890000001</v>
      </c>
    </row>
    <row r="49" spans="1:11" x14ac:dyDescent="0.35">
      <c r="A49" t="str">
        <f>NFFT_M4[[#This Row],[country]]&amp; " "&amp;NFFT_M4[[#This Row],[cluster]]</f>
        <v>Colombia 2</v>
      </c>
      <c r="B49" t="s">
        <v>21</v>
      </c>
      <c r="C49">
        <v>2</v>
      </c>
      <c r="D49">
        <v>2.0009999999999999</v>
      </c>
      <c r="E49">
        <v>841.68085110000004</v>
      </c>
      <c r="F49">
        <v>48</v>
      </c>
      <c r="G49">
        <v>39559</v>
      </c>
      <c r="H49">
        <v>54.166666669999998</v>
      </c>
      <c r="I49">
        <v>0.26233949400000001</v>
      </c>
      <c r="J49">
        <v>13</v>
      </c>
      <c r="K49">
        <v>8.3312799450000004</v>
      </c>
    </row>
    <row r="50" spans="1:11" x14ac:dyDescent="0.35">
      <c r="A50" t="str">
        <f>NFFT_M4[[#This Row],[country]]&amp; " "&amp;NFFT_M4[[#This Row],[cluster]]</f>
        <v>Colombia 3</v>
      </c>
      <c r="B50" t="s">
        <v>21</v>
      </c>
      <c r="C50">
        <v>3</v>
      </c>
      <c r="D50">
        <v>1.7230000000000001</v>
      </c>
      <c r="E50">
        <v>1283.5714290000001</v>
      </c>
      <c r="F50">
        <v>15</v>
      </c>
      <c r="G50">
        <v>17970</v>
      </c>
      <c r="H50">
        <v>28.571428569999998</v>
      </c>
      <c r="I50">
        <v>0.44389036599999998</v>
      </c>
      <c r="J50">
        <v>2</v>
      </c>
      <c r="K50">
        <v>24.59958932</v>
      </c>
    </row>
    <row r="51" spans="1:11" x14ac:dyDescent="0.35">
      <c r="A51" t="str">
        <f>NFFT_M4[[#This Row],[country]]&amp; " "&amp;NFFT_M4[[#This Row],[cluster]]</f>
        <v>Indonesia 1</v>
      </c>
      <c r="B51" t="s">
        <v>22</v>
      </c>
      <c r="C51">
        <v>1</v>
      </c>
      <c r="D51">
        <v>1.4910000000000001</v>
      </c>
      <c r="E51">
        <v>322.4265734</v>
      </c>
      <c r="F51">
        <v>144</v>
      </c>
      <c r="G51">
        <v>46107</v>
      </c>
      <c r="H51">
        <v>84.722222220000006</v>
      </c>
      <c r="I51">
        <v>0.125048512</v>
      </c>
      <c r="J51">
        <v>61</v>
      </c>
      <c r="K51">
        <v>2.0694112499999999</v>
      </c>
    </row>
    <row r="52" spans="1:11" x14ac:dyDescent="0.35">
      <c r="A52" t="str">
        <f>NFFT_M4[[#This Row],[country]]&amp; " "&amp;NFFT_M4[[#This Row],[cluster]]</f>
        <v>Indonesia 2</v>
      </c>
      <c r="B52" t="s">
        <v>22</v>
      </c>
      <c r="C52">
        <v>2</v>
      </c>
      <c r="D52">
        <v>1.8540000000000001</v>
      </c>
      <c r="E52">
        <v>843.76190480000002</v>
      </c>
      <c r="F52">
        <v>43</v>
      </c>
      <c r="G52">
        <v>35438</v>
      </c>
      <c r="H52">
        <v>52.380952379999997</v>
      </c>
      <c r="I52">
        <v>0.20071345300000001</v>
      </c>
      <c r="J52">
        <v>11</v>
      </c>
      <c r="K52">
        <v>8.8203596540000007</v>
      </c>
    </row>
    <row r="53" spans="1:11" x14ac:dyDescent="0.35">
      <c r="A53" t="str">
        <f>NFFT_M4[[#This Row],[country]]&amp; " "&amp;NFFT_M4[[#This Row],[cluster]]</f>
        <v>Indonesia 3</v>
      </c>
      <c r="B53" t="s">
        <v>22</v>
      </c>
      <c r="C53">
        <v>3</v>
      </c>
      <c r="E53">
        <v>511.19047619999998</v>
      </c>
      <c r="F53">
        <v>43</v>
      </c>
      <c r="G53">
        <v>21470</v>
      </c>
      <c r="H53">
        <v>0</v>
      </c>
      <c r="I53">
        <v>0</v>
      </c>
      <c r="J53">
        <v>0</v>
      </c>
      <c r="K53">
        <v>0</v>
      </c>
    </row>
    <row r="54" spans="1:11" x14ac:dyDescent="0.35">
      <c r="A54" t="str">
        <f>NFFT_M4[[#This Row],[country]]&amp; " "&amp;NFFT_M4[[#This Row],[cluster]]</f>
        <v>Timor Leste 1</v>
      </c>
      <c r="B54" t="s">
        <v>23</v>
      </c>
      <c r="C54">
        <v>1</v>
      </c>
      <c r="D54">
        <v>2.819</v>
      </c>
      <c r="E54">
        <v>454.64948450000003</v>
      </c>
      <c r="F54">
        <v>98</v>
      </c>
      <c r="G54">
        <v>44101</v>
      </c>
      <c r="H54">
        <v>42.857142860000003</v>
      </c>
      <c r="I54">
        <v>0.14291663900000001</v>
      </c>
      <c r="J54">
        <v>21</v>
      </c>
      <c r="K54">
        <v>5.7496170270000002</v>
      </c>
    </row>
    <row r="55" spans="1:11" x14ac:dyDescent="0.35">
      <c r="A55" t="str">
        <f>NFFT_M4[[#This Row],[country]]&amp; " "&amp;NFFT_M4[[#This Row],[cluster]]</f>
        <v>Australia 1</v>
      </c>
      <c r="B55" t="s">
        <v>24</v>
      </c>
      <c r="C55">
        <v>1</v>
      </c>
      <c r="D55">
        <v>2.4670000000000001</v>
      </c>
      <c r="E55">
        <v>473.65384619999998</v>
      </c>
      <c r="F55">
        <v>79</v>
      </c>
      <c r="G55">
        <v>36945</v>
      </c>
      <c r="H55">
        <v>41.025641030000003</v>
      </c>
      <c r="I55">
        <v>0.115581459</v>
      </c>
      <c r="J55">
        <v>16</v>
      </c>
      <c r="K55">
        <v>6.3218685829999997</v>
      </c>
    </row>
    <row r="56" spans="1:11" x14ac:dyDescent="0.35">
      <c r="A56" t="str">
        <f>NFFT_M4[[#This Row],[country]]&amp; " "&amp;NFFT_M4[[#This Row],[cluster]]</f>
        <v>Australia 2</v>
      </c>
      <c r="B56" t="s">
        <v>24</v>
      </c>
      <c r="C56">
        <v>2</v>
      </c>
      <c r="D56">
        <v>1.766</v>
      </c>
      <c r="E56">
        <v>616.625</v>
      </c>
      <c r="F56">
        <v>57</v>
      </c>
      <c r="G56">
        <v>34531</v>
      </c>
      <c r="H56">
        <v>53.571428570000002</v>
      </c>
      <c r="I56">
        <v>0.104163214</v>
      </c>
      <c r="J56">
        <v>15</v>
      </c>
      <c r="K56">
        <v>6.3027150350000003</v>
      </c>
    </row>
    <row r="57" spans="1:11" x14ac:dyDescent="0.35">
      <c r="A57" t="str">
        <f>NFFT_M4[[#This Row],[country]]&amp; " "&amp;NFFT_M4[[#This Row],[cluster]]</f>
        <v>Australia 3</v>
      </c>
      <c r="B57" t="s">
        <v>24</v>
      </c>
      <c r="C57">
        <v>3</v>
      </c>
      <c r="D57">
        <v>2.1459999999999999</v>
      </c>
      <c r="E57">
        <v>610.47272729999997</v>
      </c>
      <c r="F57">
        <v>56</v>
      </c>
      <c r="G57">
        <v>33576</v>
      </c>
      <c r="H57">
        <v>42.857142860000003</v>
      </c>
      <c r="I57">
        <v>0.21512187199999999</v>
      </c>
      <c r="J57">
        <v>12</v>
      </c>
      <c r="K57">
        <v>7.6605065019999996</v>
      </c>
    </row>
    <row r="58" spans="1:11" x14ac:dyDescent="0.35">
      <c r="A58" t="str">
        <f>NFFT_M4[[#This Row],[country]]&amp; " "&amp;NFFT_M4[[#This Row],[cluster]]</f>
        <v>New Zealand 1</v>
      </c>
      <c r="B58" t="s">
        <v>25</v>
      </c>
      <c r="C58">
        <v>1</v>
      </c>
      <c r="D58">
        <v>1.68</v>
      </c>
      <c r="E58">
        <v>348.95867770000001</v>
      </c>
      <c r="F58">
        <v>122</v>
      </c>
      <c r="G58">
        <v>42224</v>
      </c>
      <c r="H58">
        <v>68.852459019999998</v>
      </c>
      <c r="I58">
        <v>0.149593797</v>
      </c>
      <c r="J58">
        <v>42</v>
      </c>
      <c r="K58">
        <v>2.7524526580000002</v>
      </c>
    </row>
    <row r="59" spans="1:11" x14ac:dyDescent="0.35">
      <c r="A59" t="str">
        <f>NFFT_M4[[#This Row],[country]]&amp; " "&amp;NFFT_M4[[#This Row],[cluster]]</f>
        <v>New Zealand 2</v>
      </c>
      <c r="B59" t="s">
        <v>25</v>
      </c>
      <c r="C59">
        <v>2</v>
      </c>
      <c r="D59">
        <v>2.0129999999999999</v>
      </c>
      <c r="E59">
        <v>462.36470589999999</v>
      </c>
      <c r="F59">
        <v>86</v>
      </c>
      <c r="G59">
        <v>39301</v>
      </c>
      <c r="H59">
        <v>53.488372089999999</v>
      </c>
      <c r="I59">
        <v>0.18526232200000001</v>
      </c>
      <c r="J59">
        <v>23</v>
      </c>
      <c r="K59">
        <v>4.6782727729999998</v>
      </c>
    </row>
    <row r="60" spans="1:11" x14ac:dyDescent="0.35">
      <c r="A60" t="str">
        <f>NFFT_M4[[#This Row],[country]]&amp; " "&amp;NFFT_M4[[#This Row],[cluster]]</f>
        <v>Algeria 1</v>
      </c>
      <c r="B60" t="s">
        <v>26</v>
      </c>
      <c r="C60">
        <v>1</v>
      </c>
      <c r="D60">
        <v>2.4950000000000001</v>
      </c>
      <c r="E60">
        <v>869.72916669999995</v>
      </c>
      <c r="F60">
        <v>49</v>
      </c>
      <c r="G60">
        <v>41747</v>
      </c>
      <c r="H60">
        <v>45.833333330000002</v>
      </c>
      <c r="I60">
        <v>0.119631294</v>
      </c>
      <c r="J60">
        <v>11</v>
      </c>
      <c r="K60">
        <v>10.39064153</v>
      </c>
    </row>
    <row r="61" spans="1:11" x14ac:dyDescent="0.35">
      <c r="A61" t="str">
        <f>NFFT_M4[[#This Row],[country]]&amp; " "&amp;NFFT_M4[[#This Row],[cluster]]</f>
        <v>Algeria 2</v>
      </c>
      <c r="B61" t="s">
        <v>26</v>
      </c>
      <c r="C61">
        <v>2</v>
      </c>
      <c r="D61">
        <v>2.6619999999999999</v>
      </c>
      <c r="E61">
        <v>1494.76</v>
      </c>
      <c r="F61">
        <v>26</v>
      </c>
      <c r="G61">
        <v>37369</v>
      </c>
      <c r="H61">
        <v>38.46153846</v>
      </c>
      <c r="I61">
        <v>0.45607402499999999</v>
      </c>
      <c r="J61">
        <v>5</v>
      </c>
      <c r="K61">
        <v>20.46214921</v>
      </c>
    </row>
    <row r="62" spans="1:11" x14ac:dyDescent="0.35">
      <c r="A62" t="str">
        <f>NFFT_M4[[#This Row],[country]]&amp; " "&amp;NFFT_M4[[#This Row],[cluster]]</f>
        <v>Algeria 3</v>
      </c>
      <c r="B62" t="s">
        <v>26</v>
      </c>
      <c r="C62">
        <v>3</v>
      </c>
      <c r="D62">
        <v>2.8130000000000002</v>
      </c>
      <c r="E62">
        <v>1777.809524</v>
      </c>
      <c r="F62">
        <v>22</v>
      </c>
      <c r="G62">
        <v>37334</v>
      </c>
      <c r="H62">
        <v>36.363636360000001</v>
      </c>
      <c r="I62">
        <v>0.281726476</v>
      </c>
      <c r="J62">
        <v>4</v>
      </c>
      <c r="K62">
        <v>25.55373032</v>
      </c>
    </row>
    <row r="63" spans="1:11" x14ac:dyDescent="0.35">
      <c r="A63" t="str">
        <f>NFFT_M4[[#This Row],[country]]&amp; " "&amp;NFFT_M4[[#This Row],[cluster]]</f>
        <v>Somalia 1</v>
      </c>
      <c r="B63" t="s">
        <v>27</v>
      </c>
      <c r="C63">
        <v>1</v>
      </c>
      <c r="E63">
        <v>384.625</v>
      </c>
      <c r="F63">
        <v>57</v>
      </c>
      <c r="G63">
        <v>21539</v>
      </c>
      <c r="H63">
        <v>0</v>
      </c>
      <c r="I63">
        <v>0</v>
      </c>
      <c r="J63">
        <v>0</v>
      </c>
      <c r="K63">
        <v>0</v>
      </c>
    </row>
    <row r="64" spans="1:11" x14ac:dyDescent="0.35">
      <c r="A64" t="str">
        <f>NFFT_M4[[#This Row],[country]]&amp; " "&amp;NFFT_M4[[#This Row],[cluster]]</f>
        <v>Somalia 2</v>
      </c>
      <c r="B64" t="s">
        <v>27</v>
      </c>
      <c r="C64">
        <v>2</v>
      </c>
      <c r="D64">
        <v>3.2090000000000001</v>
      </c>
      <c r="E64">
        <v>973.44736839999996</v>
      </c>
      <c r="F64">
        <v>39</v>
      </c>
      <c r="G64">
        <v>36991</v>
      </c>
      <c r="H64">
        <v>31.578947370000002</v>
      </c>
      <c r="I64">
        <v>0.20894051</v>
      </c>
      <c r="J64">
        <v>6</v>
      </c>
      <c r="K64">
        <v>16.879306410000002</v>
      </c>
    </row>
    <row r="65" spans="1:11" x14ac:dyDescent="0.35">
      <c r="A65" t="str">
        <f>NFFT_M4[[#This Row],[country]]&amp; " "&amp;NFFT_M4[[#This Row],[cluster]]</f>
        <v>South Africa 1</v>
      </c>
      <c r="B65" t="s">
        <v>28</v>
      </c>
      <c r="C65">
        <v>1</v>
      </c>
      <c r="D65">
        <v>0.69699999999999995</v>
      </c>
      <c r="E65">
        <v>357.38461539999997</v>
      </c>
      <c r="F65">
        <v>53</v>
      </c>
      <c r="G65">
        <v>18584</v>
      </c>
      <c r="H65">
        <v>73.07692308</v>
      </c>
      <c r="I65">
        <v>0.20157167600000001</v>
      </c>
      <c r="J65">
        <v>19</v>
      </c>
      <c r="K65">
        <v>2.6779062649999998</v>
      </c>
    </row>
    <row r="66" spans="1:11" x14ac:dyDescent="0.35">
      <c r="A66" t="str">
        <f>NFFT_M4[[#This Row],[country]]&amp; " "&amp;NFFT_M4[[#This Row],[cluster]]</f>
        <v>South Africa 2</v>
      </c>
      <c r="B66" t="s">
        <v>28</v>
      </c>
      <c r="C66">
        <v>2</v>
      </c>
      <c r="D66">
        <v>1.048</v>
      </c>
      <c r="E66">
        <v>367.7692308</v>
      </c>
      <c r="F66">
        <v>53</v>
      </c>
      <c r="G66">
        <v>19124</v>
      </c>
      <c r="H66">
        <v>50</v>
      </c>
      <c r="I66">
        <v>0.26084331599999999</v>
      </c>
      <c r="J66">
        <v>13</v>
      </c>
      <c r="K66">
        <v>4.0275891120000002</v>
      </c>
    </row>
    <row r="67" spans="1:11" x14ac:dyDescent="0.35">
      <c r="A67" t="str">
        <f>NFFT_M4[[#This Row],[country]]&amp; " "&amp;NFFT_M4[[#This Row],[cluster]]</f>
        <v>South Africa 3</v>
      </c>
      <c r="B67" t="s">
        <v>28</v>
      </c>
      <c r="C67">
        <v>3</v>
      </c>
      <c r="E67">
        <v>491.5789474</v>
      </c>
      <c r="F67">
        <v>39</v>
      </c>
      <c r="G67">
        <v>18680</v>
      </c>
      <c r="H67">
        <v>0</v>
      </c>
      <c r="I67">
        <v>0</v>
      </c>
      <c r="J67">
        <v>0</v>
      </c>
      <c r="K67">
        <v>0</v>
      </c>
    </row>
    <row r="68" spans="1:11" x14ac:dyDescent="0.35">
      <c r="A68" t="str">
        <f>NFFT_M4[[#This Row],[country]]&amp; " "&amp;NFFT_M4[[#This Row],[cluster]]</f>
        <v>Saint Helena 1</v>
      </c>
      <c r="B68" t="s">
        <v>29</v>
      </c>
      <c r="C68">
        <v>1</v>
      </c>
      <c r="D68">
        <v>2.0049999999999999</v>
      </c>
      <c r="E68">
        <v>663.94736839999996</v>
      </c>
      <c r="F68">
        <v>58</v>
      </c>
      <c r="G68">
        <v>37845</v>
      </c>
      <c r="H68">
        <v>51.724137929999998</v>
      </c>
      <c r="I68">
        <v>0.15390953800000001</v>
      </c>
      <c r="J68">
        <v>15</v>
      </c>
      <c r="K68">
        <v>6.9075975359999999</v>
      </c>
    </row>
    <row r="69" spans="1:11" x14ac:dyDescent="0.35">
      <c r="A69" t="str">
        <f>NFFT_M4[[#This Row],[country]]&amp; " "&amp;NFFT_M4[[#This Row],[cluster]]</f>
        <v>Saint Helena 2</v>
      </c>
      <c r="B69" t="s">
        <v>29</v>
      </c>
      <c r="C69">
        <v>2</v>
      </c>
      <c r="E69">
        <v>1562.583333</v>
      </c>
      <c r="F69">
        <v>13</v>
      </c>
      <c r="G69">
        <v>18751</v>
      </c>
      <c r="H69">
        <v>0</v>
      </c>
      <c r="I69">
        <v>0</v>
      </c>
      <c r="J69">
        <v>0</v>
      </c>
      <c r="K69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0644E-3ED1-45B0-9549-47DA5430B904}">
  <dimension ref="A1:K69"/>
  <sheetViews>
    <sheetView workbookViewId="0">
      <selection activeCell="A2" sqref="A2"/>
    </sheetView>
  </sheetViews>
  <sheetFormatPr defaultRowHeight="14.5" x14ac:dyDescent="0.35"/>
  <cols>
    <col min="2" max="2" width="16.6328125" bestFit="1" customWidth="1"/>
    <col min="4" max="4" width="17.26953125" bestFit="1" customWidth="1"/>
    <col min="5" max="5" width="11.81640625" bestFit="1" customWidth="1"/>
    <col min="6" max="6" width="18.08984375" bestFit="1" customWidth="1"/>
    <col min="7" max="7" width="18.90625" bestFit="1" customWidth="1"/>
    <col min="8" max="8" width="11.81640625" bestFit="1" customWidth="1"/>
    <col min="9" max="9" width="18.81640625" bestFit="1" customWidth="1"/>
    <col min="10" max="10" width="18.6328125" bestFit="1" customWidth="1"/>
    <col min="11" max="11" width="29.26953125" bestFit="1" customWidth="1"/>
  </cols>
  <sheetData>
    <row r="1" spans="1:11" x14ac:dyDescent="0.35">
      <c r="B1" t="s">
        <v>0</v>
      </c>
      <c r="C1" t="s">
        <v>30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 x14ac:dyDescent="0.35">
      <c r="A2" t="str">
        <f>NFFT_M5[[#This Row],[country]]&amp; " "&amp;NFFT_M5[[#This Row],[cluster]]</f>
        <v>Japan 1</v>
      </c>
      <c r="B2" t="s">
        <v>2</v>
      </c>
      <c r="C2">
        <v>1</v>
      </c>
      <c r="D2">
        <v>1.5409999999999999</v>
      </c>
      <c r="E2">
        <v>322.23776223776224</v>
      </c>
      <c r="F2">
        <v>144</v>
      </c>
      <c r="G2">
        <v>46080</v>
      </c>
      <c r="H2">
        <v>81.944444444444443</v>
      </c>
      <c r="I2">
        <v>0.13393398654631578</v>
      </c>
      <c r="J2">
        <v>59</v>
      </c>
      <c r="K2">
        <v>2.1383078690008004</v>
      </c>
    </row>
    <row r="3" spans="1:11" x14ac:dyDescent="0.35">
      <c r="A3" t="str">
        <f>NFFT_M5[[#This Row],[country]]&amp; " "&amp;NFFT_M5[[#This Row],[cluster]]</f>
        <v>Japan 2</v>
      </c>
      <c r="B3" t="s">
        <v>2</v>
      </c>
      <c r="C3">
        <v>2</v>
      </c>
      <c r="D3">
        <v>1.506</v>
      </c>
      <c r="E3">
        <v>353.99224806201551</v>
      </c>
      <c r="F3">
        <v>130</v>
      </c>
      <c r="G3">
        <v>45665</v>
      </c>
      <c r="H3">
        <v>83.07692307692308</v>
      </c>
      <c r="I3">
        <v>0.10967880327255278</v>
      </c>
      <c r="J3">
        <v>54</v>
      </c>
      <c r="K3">
        <v>2.3152584480442111</v>
      </c>
    </row>
    <row r="4" spans="1:11" x14ac:dyDescent="0.35">
      <c r="A4" t="str">
        <f>NFFT_M5[[#This Row],[country]]&amp; " "&amp;NFFT_M5[[#This Row],[cluster]]</f>
        <v>Japan 3</v>
      </c>
      <c r="B4" t="s">
        <v>2</v>
      </c>
      <c r="C4">
        <v>3</v>
      </c>
      <c r="D4">
        <v>3.8039999999999998</v>
      </c>
      <c r="E4">
        <v>2314.4</v>
      </c>
      <c r="F4">
        <v>16</v>
      </c>
      <c r="G4">
        <v>34716</v>
      </c>
      <c r="H4">
        <v>25</v>
      </c>
      <c r="I4">
        <v>0.53511293025850803</v>
      </c>
      <c r="J4">
        <v>2</v>
      </c>
      <c r="K4">
        <v>47.523613963039011</v>
      </c>
    </row>
    <row r="5" spans="1:11" x14ac:dyDescent="0.35">
      <c r="A5" t="str">
        <f>NFFT_M5[[#This Row],[country]]&amp; " "&amp;NFFT_M5[[#This Row],[cluster]]</f>
        <v>Papua New Guinea 1</v>
      </c>
      <c r="B5" t="s">
        <v>3</v>
      </c>
      <c r="C5">
        <v>1</v>
      </c>
      <c r="D5">
        <v>2.11</v>
      </c>
      <c r="E5">
        <v>330.02857142857141</v>
      </c>
      <c r="F5">
        <v>141</v>
      </c>
      <c r="G5">
        <v>46204</v>
      </c>
      <c r="H5">
        <v>60</v>
      </c>
      <c r="I5">
        <v>0.10182727123688373</v>
      </c>
      <c r="J5">
        <v>42</v>
      </c>
      <c r="K5">
        <v>3.0118966135393239</v>
      </c>
    </row>
    <row r="6" spans="1:11" x14ac:dyDescent="0.35">
      <c r="A6" t="str">
        <f>NFFT_M5[[#This Row],[country]]&amp; " "&amp;NFFT_M5[[#This Row],[cluster]]</f>
        <v>Papua New Guinea 2</v>
      </c>
      <c r="B6" t="s">
        <v>3</v>
      </c>
      <c r="C6">
        <v>2</v>
      </c>
      <c r="D6">
        <v>1.2769999999999999</v>
      </c>
      <c r="E6">
        <v>572.73913043478262</v>
      </c>
      <c r="F6">
        <v>47</v>
      </c>
      <c r="G6">
        <v>26346</v>
      </c>
      <c r="H6">
        <v>56.521739130434781</v>
      </c>
      <c r="I6">
        <v>0.26694510550551653</v>
      </c>
      <c r="J6">
        <v>13</v>
      </c>
      <c r="K6">
        <v>5.5485705259832567</v>
      </c>
    </row>
    <row r="7" spans="1:11" x14ac:dyDescent="0.35">
      <c r="A7" t="str">
        <f>NFFT_M5[[#This Row],[country]]&amp; " "&amp;NFFT_M5[[#This Row],[cluster]]</f>
        <v>Papua New Guinea 3</v>
      </c>
      <c r="B7" t="s">
        <v>3</v>
      </c>
      <c r="C7">
        <v>3</v>
      </c>
      <c r="D7">
        <v>5.5860000000000003</v>
      </c>
      <c r="E7">
        <v>1194.6875</v>
      </c>
      <c r="F7">
        <v>33</v>
      </c>
      <c r="G7">
        <v>38230</v>
      </c>
      <c r="H7">
        <v>18.75</v>
      </c>
      <c r="I7">
        <v>0.21452924388243877</v>
      </c>
      <c r="J7">
        <v>3</v>
      </c>
      <c r="K7">
        <v>34.889345197353414</v>
      </c>
    </row>
    <row r="8" spans="1:11" x14ac:dyDescent="0.35">
      <c r="A8" t="str">
        <f>NFFT_M5[[#This Row],[country]]&amp; " "&amp;NFFT_M5[[#This Row],[cluster]]</f>
        <v>Philippines 1</v>
      </c>
      <c r="B8" t="s">
        <v>4</v>
      </c>
      <c r="C8">
        <v>1</v>
      </c>
      <c r="D8">
        <v>1.6020000000000001</v>
      </c>
      <c r="E8">
        <v>315.73611111111109</v>
      </c>
      <c r="F8">
        <v>145</v>
      </c>
      <c r="G8">
        <v>45466</v>
      </c>
      <c r="H8">
        <v>77.777777777777786</v>
      </c>
      <c r="I8">
        <v>0.19507017972376486</v>
      </c>
      <c r="J8">
        <v>56</v>
      </c>
      <c r="K8">
        <v>2.222841497995502</v>
      </c>
    </row>
    <row r="9" spans="1:11" x14ac:dyDescent="0.35">
      <c r="A9" t="str">
        <f>NFFT_M5[[#This Row],[country]]&amp; " "&amp;NFFT_M5[[#This Row],[cluster]]</f>
        <v>Philippines 2</v>
      </c>
      <c r="B9" t="s">
        <v>4</v>
      </c>
      <c r="C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tr">
        <f>NFFT_M5[[#This Row],[country]]&amp; " "&amp;NFFT_M5[[#This Row],[cluster]]</f>
        <v>Tonga 1</v>
      </c>
      <c r="B10" t="s">
        <v>5</v>
      </c>
      <c r="C10">
        <v>1</v>
      </c>
      <c r="D10">
        <v>1.431</v>
      </c>
      <c r="E10">
        <v>348.87596899224809</v>
      </c>
      <c r="F10">
        <v>130</v>
      </c>
      <c r="G10">
        <v>45005</v>
      </c>
      <c r="H10">
        <v>86.15384615384616</v>
      </c>
      <c r="I10">
        <v>0.15045955376188316</v>
      </c>
      <c r="J10">
        <v>56</v>
      </c>
      <c r="K10">
        <v>2.2003031191942899</v>
      </c>
    </row>
    <row r="11" spans="1:11" x14ac:dyDescent="0.35">
      <c r="A11" t="str">
        <f>NFFT_M5[[#This Row],[country]]&amp; " "&amp;NFFT_M5[[#This Row],[cluster]]</f>
        <v>USA 1</v>
      </c>
      <c r="B11" t="s">
        <v>6</v>
      </c>
      <c r="C11">
        <v>1</v>
      </c>
      <c r="D11">
        <v>2.0910000000000002</v>
      </c>
      <c r="E11">
        <v>327.15714285714284</v>
      </c>
      <c r="F11">
        <v>141</v>
      </c>
      <c r="G11">
        <v>45802</v>
      </c>
      <c r="H11">
        <v>60</v>
      </c>
      <c r="I11">
        <v>0.16495631833108565</v>
      </c>
      <c r="J11">
        <v>42</v>
      </c>
      <c r="K11">
        <v>2.98569147029106</v>
      </c>
    </row>
    <row r="12" spans="1:11" x14ac:dyDescent="0.35">
      <c r="A12" t="str">
        <f>NFFT_M5[[#This Row],[country]]&amp; " "&amp;NFFT_M5[[#This Row],[cluster]]</f>
        <v>USA 2</v>
      </c>
      <c r="B12" t="s">
        <v>6</v>
      </c>
      <c r="C12">
        <v>2</v>
      </c>
      <c r="D12">
        <v>2.1589999999999998</v>
      </c>
      <c r="E12">
        <v>368.93548387096774</v>
      </c>
      <c r="F12">
        <v>125</v>
      </c>
      <c r="G12">
        <v>45748</v>
      </c>
      <c r="H12">
        <v>58.064516129032263</v>
      </c>
      <c r="I12">
        <v>0.11406377849893864</v>
      </c>
      <c r="J12">
        <v>36</v>
      </c>
      <c r="K12">
        <v>3.4791999391588715</v>
      </c>
    </row>
    <row r="13" spans="1:11" x14ac:dyDescent="0.35">
      <c r="A13" t="str">
        <f>NFFT_M5[[#This Row],[country]]&amp; " "&amp;NFFT_M5[[#This Row],[cluster]]</f>
        <v>USA 3</v>
      </c>
      <c r="B13" t="s">
        <v>6</v>
      </c>
      <c r="C13">
        <v>3</v>
      </c>
      <c r="D13">
        <v>2.673</v>
      </c>
      <c r="E13">
        <v>613.98630136986299</v>
      </c>
      <c r="F13">
        <v>74</v>
      </c>
      <c r="G13">
        <v>44821</v>
      </c>
      <c r="H13">
        <v>45.945945945945951</v>
      </c>
      <c r="I13">
        <v>0.17124950037758693</v>
      </c>
      <c r="J13">
        <v>17</v>
      </c>
      <c r="K13">
        <v>7.2184241252969361</v>
      </c>
    </row>
    <row r="14" spans="1:11" x14ac:dyDescent="0.35">
      <c r="A14" t="str">
        <f>NFFT_M5[[#This Row],[country]]&amp; " "&amp;NFFT_M5[[#This Row],[cluster]]</f>
        <v>Mexico 1</v>
      </c>
      <c r="B14" t="s">
        <v>7</v>
      </c>
      <c r="C14">
        <v>1</v>
      </c>
      <c r="D14">
        <v>2.4809999999999999</v>
      </c>
      <c r="E14">
        <v>365.10317460317458</v>
      </c>
      <c r="F14">
        <v>127</v>
      </c>
      <c r="G14">
        <v>46003</v>
      </c>
      <c r="H14">
        <v>50.793650793650791</v>
      </c>
      <c r="I14">
        <v>0.1698569743049794</v>
      </c>
      <c r="J14">
        <v>32</v>
      </c>
      <c r="K14">
        <v>3.9359171800136892</v>
      </c>
    </row>
    <row r="15" spans="1:11" x14ac:dyDescent="0.35">
      <c r="A15" t="str">
        <f>NFFT_M5[[#This Row],[country]]&amp; " "&amp;NFFT_M5[[#This Row],[cluster]]</f>
        <v>Mexico 2</v>
      </c>
      <c r="B15" t="s">
        <v>7</v>
      </c>
      <c r="C15">
        <v>2</v>
      </c>
      <c r="D15">
        <v>3.0910000000000002</v>
      </c>
      <c r="E15">
        <v>410.23636363636365</v>
      </c>
      <c r="F15">
        <v>111</v>
      </c>
      <c r="G15">
        <v>45126</v>
      </c>
      <c r="H15">
        <v>40</v>
      </c>
      <c r="I15">
        <v>0.18585813701401188</v>
      </c>
      <c r="J15">
        <v>22</v>
      </c>
      <c r="K15">
        <v>5.6158297554601448</v>
      </c>
    </row>
    <row r="16" spans="1:11" x14ac:dyDescent="0.35">
      <c r="A16" t="str">
        <f>NFFT_M5[[#This Row],[country]]&amp; " "&amp;NFFT_M5[[#This Row],[cluster]]</f>
        <v>Mexico 3</v>
      </c>
      <c r="B16" t="s">
        <v>7</v>
      </c>
      <c r="C16">
        <v>3</v>
      </c>
      <c r="D16">
        <v>1.879</v>
      </c>
      <c r="E16">
        <v>728</v>
      </c>
      <c r="F16">
        <v>50</v>
      </c>
      <c r="G16">
        <v>35672</v>
      </c>
      <c r="H16">
        <v>52</v>
      </c>
      <c r="I16">
        <v>0.154160217337517</v>
      </c>
      <c r="J16">
        <v>13</v>
      </c>
      <c r="K16">
        <v>7.5126625598904857</v>
      </c>
    </row>
    <row r="17" spans="1:11" x14ac:dyDescent="0.35">
      <c r="A17" t="str">
        <f>NFFT_M5[[#This Row],[country]]&amp; " "&amp;NFFT_M5[[#This Row],[cluster]]</f>
        <v>Canada 1</v>
      </c>
      <c r="B17" t="s">
        <v>8</v>
      </c>
      <c r="C17">
        <v>1</v>
      </c>
      <c r="D17">
        <v>2.621</v>
      </c>
      <c r="E17">
        <v>457</v>
      </c>
      <c r="F17">
        <v>92</v>
      </c>
      <c r="G17">
        <v>41587</v>
      </c>
      <c r="H17">
        <v>43.478260869565219</v>
      </c>
      <c r="I17">
        <v>0.146500774452682</v>
      </c>
      <c r="J17">
        <v>20</v>
      </c>
      <c r="K17">
        <v>5.6929500342231343</v>
      </c>
    </row>
    <row r="18" spans="1:11" x14ac:dyDescent="0.35">
      <c r="A18" t="str">
        <f>NFFT_M5[[#This Row],[country]]&amp; " "&amp;NFFT_M5[[#This Row],[cluster]]</f>
        <v>Canada 2</v>
      </c>
      <c r="B18" t="s">
        <v>8</v>
      </c>
      <c r="C18">
        <v>2</v>
      </c>
      <c r="E18">
        <v>1666.1176470588234</v>
      </c>
      <c r="F18">
        <v>18</v>
      </c>
      <c r="G18">
        <v>28324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 t="str">
        <f>NFFT_M5[[#This Row],[country]]&amp; " "&amp;NFFT_M5[[#This Row],[cluster]]</f>
        <v>Canada 3</v>
      </c>
      <c r="B19" t="s">
        <v>8</v>
      </c>
      <c r="C19">
        <v>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5">
      <c r="A20" t="str">
        <f>NFFT_M5[[#This Row],[country]]&amp; " "&amp;NFFT_M5[[#This Row],[cluster]]</f>
        <v>Guatemala 1</v>
      </c>
      <c r="B20" t="s">
        <v>9</v>
      </c>
      <c r="C20">
        <v>1</v>
      </c>
      <c r="D20">
        <v>2.0710000000000002</v>
      </c>
      <c r="E20">
        <v>458.13131313131311</v>
      </c>
      <c r="F20">
        <v>100</v>
      </c>
      <c r="G20">
        <v>45355</v>
      </c>
      <c r="H20">
        <v>60</v>
      </c>
      <c r="I20">
        <v>0.13524190274882139</v>
      </c>
      <c r="J20">
        <v>30</v>
      </c>
      <c r="K20">
        <v>4.1391740816792151</v>
      </c>
    </row>
    <row r="21" spans="1:11" x14ac:dyDescent="0.35">
      <c r="A21" t="str">
        <f>NFFT_M5[[#This Row],[country]]&amp; " "&amp;NFFT_M5[[#This Row],[cluster]]</f>
        <v>Guatemala 2</v>
      </c>
      <c r="B21" t="s">
        <v>9</v>
      </c>
      <c r="C21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 t="str">
        <f>NFFT_M5[[#This Row],[country]]&amp; " "&amp;NFFT_M5[[#This Row],[cluster]]</f>
        <v>Russia 1</v>
      </c>
      <c r="B22" t="s">
        <v>10</v>
      </c>
      <c r="C22">
        <v>1</v>
      </c>
      <c r="D22">
        <v>1.54</v>
      </c>
      <c r="E22">
        <v>306.91946308724835</v>
      </c>
      <c r="F22">
        <v>150</v>
      </c>
      <c r="G22">
        <v>45731</v>
      </c>
      <c r="H22">
        <v>81.333333333333329</v>
      </c>
      <c r="I22">
        <v>0.11520887873879958</v>
      </c>
      <c r="J22">
        <v>61</v>
      </c>
      <c r="K22">
        <v>2.052535317153084</v>
      </c>
    </row>
    <row r="23" spans="1:11" x14ac:dyDescent="0.35">
      <c r="A23" t="str">
        <f>NFFT_M5[[#This Row],[country]]&amp; " "&amp;NFFT_M5[[#This Row],[cluster]]</f>
        <v>Russia 2</v>
      </c>
      <c r="B23" t="s">
        <v>10</v>
      </c>
      <c r="C23">
        <v>2</v>
      </c>
      <c r="E23">
        <v>707.72307692307697</v>
      </c>
      <c r="F23">
        <v>66</v>
      </c>
      <c r="G23">
        <v>46002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 t="str">
        <f>NFFT_M5[[#This Row],[country]]&amp; " "&amp;NFFT_M5[[#This Row],[cluster]]</f>
        <v>Russia 3</v>
      </c>
      <c r="B24" t="s">
        <v>10</v>
      </c>
      <c r="C24">
        <v>3</v>
      </c>
      <c r="D24">
        <v>4.5460000000000003</v>
      </c>
      <c r="E24">
        <v>1180.1351351351352</v>
      </c>
      <c r="F24">
        <v>38</v>
      </c>
      <c r="G24">
        <v>43665</v>
      </c>
      <c r="H24">
        <v>26.315789473684209</v>
      </c>
      <c r="I24">
        <v>0.28219990889961372</v>
      </c>
      <c r="J24">
        <v>5</v>
      </c>
      <c r="K24">
        <v>23.909650924024639</v>
      </c>
    </row>
    <row r="25" spans="1:11" x14ac:dyDescent="0.35">
      <c r="A25" t="str">
        <f>NFFT_M5[[#This Row],[country]]&amp; " "&amp;NFFT_M5[[#This Row],[cluster]]</f>
        <v>China 1</v>
      </c>
      <c r="B25" t="s">
        <v>11</v>
      </c>
      <c r="C25">
        <v>1</v>
      </c>
      <c r="D25">
        <v>2.6219999999999999</v>
      </c>
      <c r="E25">
        <v>445.84158415841586</v>
      </c>
      <c r="F25">
        <v>102</v>
      </c>
      <c r="G25">
        <v>45030</v>
      </c>
      <c r="H25">
        <v>47.058823529411761</v>
      </c>
      <c r="I25">
        <v>0.10160199836539142</v>
      </c>
      <c r="J25">
        <v>24</v>
      </c>
      <c r="K25">
        <v>5.1368925393566052</v>
      </c>
    </row>
    <row r="26" spans="1:11" x14ac:dyDescent="0.35">
      <c r="A26" t="str">
        <f>NFFT_M5[[#This Row],[country]]&amp; " "&amp;NFFT_M5[[#This Row],[cluster]]</f>
        <v>China 2</v>
      </c>
      <c r="B26" t="s">
        <v>11</v>
      </c>
      <c r="C26">
        <v>2</v>
      </c>
      <c r="D26">
        <v>1.9510000000000001</v>
      </c>
      <c r="E26">
        <v>593.83582089552237</v>
      </c>
      <c r="F26">
        <v>68</v>
      </c>
      <c r="G26">
        <v>39787</v>
      </c>
      <c r="H26">
        <v>55.882352941176471</v>
      </c>
      <c r="I26">
        <v>0.15627856664087542</v>
      </c>
      <c r="J26">
        <v>19</v>
      </c>
      <c r="K26">
        <v>5.7332036456644699</v>
      </c>
    </row>
    <row r="27" spans="1:11" x14ac:dyDescent="0.35">
      <c r="A27" t="str">
        <f>NFFT_M5[[#This Row],[country]]&amp; " "&amp;NFFT_M5[[#This Row],[cluster]]</f>
        <v>China 3</v>
      </c>
      <c r="B27" t="s">
        <v>11</v>
      </c>
      <c r="C27">
        <v>3</v>
      </c>
      <c r="D27">
        <v>2.2410000000000001</v>
      </c>
      <c r="E27">
        <v>605.47540983606552</v>
      </c>
      <c r="F27">
        <v>62</v>
      </c>
      <c r="G27">
        <v>36934</v>
      </c>
      <c r="H27">
        <v>45.161290322580641</v>
      </c>
      <c r="I27">
        <v>0.23401227383855919</v>
      </c>
      <c r="J27">
        <v>14</v>
      </c>
      <c r="K27">
        <v>7.2228414979955025</v>
      </c>
    </row>
    <row r="28" spans="1:11" x14ac:dyDescent="0.35">
      <c r="A28" t="str">
        <f>NFFT_M5[[#This Row],[country]]&amp; " "&amp;NFFT_M5[[#This Row],[cluster]]</f>
        <v>India 1</v>
      </c>
      <c r="B28" t="s">
        <v>12</v>
      </c>
      <c r="C28">
        <v>1</v>
      </c>
      <c r="D28">
        <v>2.661</v>
      </c>
      <c r="E28">
        <v>433.67326732673268</v>
      </c>
      <c r="F28">
        <v>102</v>
      </c>
      <c r="G28">
        <v>43801</v>
      </c>
      <c r="H28">
        <v>45.098039215686278</v>
      </c>
      <c r="I28">
        <v>0.11933649770573328</v>
      </c>
      <c r="J28">
        <v>23</v>
      </c>
      <c r="K28">
        <v>5.2139392316162247</v>
      </c>
    </row>
    <row r="29" spans="1:11" x14ac:dyDescent="0.35">
      <c r="A29" t="str">
        <f>NFFT_M5[[#This Row],[country]]&amp; " "&amp;NFFT_M5[[#This Row],[cluster]]</f>
        <v>India 2</v>
      </c>
      <c r="B29" t="s">
        <v>12</v>
      </c>
      <c r="C29">
        <v>2</v>
      </c>
      <c r="D29">
        <v>2.17</v>
      </c>
      <c r="E29">
        <v>426.26470588235293</v>
      </c>
      <c r="F29">
        <v>103</v>
      </c>
      <c r="G29">
        <v>43479</v>
      </c>
      <c r="H29">
        <v>54.901960784313744</v>
      </c>
      <c r="I29">
        <v>0.11267656261776716</v>
      </c>
      <c r="J29">
        <v>28.000000000000007</v>
      </c>
      <c r="K29">
        <v>4.251393370489879</v>
      </c>
    </row>
    <row r="30" spans="1:11" x14ac:dyDescent="0.35">
      <c r="A30" t="str">
        <f>NFFT_M5[[#This Row],[country]]&amp; " "&amp;NFFT_M5[[#This Row],[cluster]]</f>
        <v>India 3</v>
      </c>
      <c r="B30" t="s">
        <v>12</v>
      </c>
      <c r="C30">
        <v>3</v>
      </c>
      <c r="D30">
        <v>2.4889999999999999</v>
      </c>
      <c r="E30">
        <v>574.76623376623377</v>
      </c>
      <c r="F30">
        <v>78</v>
      </c>
      <c r="G30">
        <v>44257</v>
      </c>
      <c r="H30">
        <v>48.717948717948715</v>
      </c>
      <c r="I30">
        <v>9.4689434582264323E-2</v>
      </c>
      <c r="J30">
        <v>19</v>
      </c>
      <c r="K30">
        <v>6.3773190676897578</v>
      </c>
    </row>
    <row r="31" spans="1:11" x14ac:dyDescent="0.35">
      <c r="A31" t="str">
        <f>NFFT_M5[[#This Row],[country]]&amp; " "&amp;NFFT_M5[[#This Row],[cluster]]</f>
        <v>Iran 1</v>
      </c>
      <c r="B31" t="s">
        <v>13</v>
      </c>
      <c r="C31">
        <v>1</v>
      </c>
      <c r="D31">
        <v>2.157</v>
      </c>
      <c r="E31">
        <v>387.79824561403507</v>
      </c>
      <c r="F31">
        <v>115</v>
      </c>
      <c r="G31">
        <v>44209</v>
      </c>
      <c r="H31">
        <v>56.140350877192979</v>
      </c>
      <c r="I31">
        <v>0.10108107789737202</v>
      </c>
      <c r="J31">
        <v>32</v>
      </c>
      <c r="K31">
        <v>3.7824264202600957</v>
      </c>
    </row>
    <row r="32" spans="1:11" x14ac:dyDescent="0.35">
      <c r="A32" t="str">
        <f>NFFT_M5[[#This Row],[country]]&amp; " "&amp;NFFT_M5[[#This Row],[cluster]]</f>
        <v>Iran 2</v>
      </c>
      <c r="B32" t="s">
        <v>13</v>
      </c>
      <c r="C32">
        <v>2</v>
      </c>
      <c r="D32">
        <v>2.0379999999999998</v>
      </c>
      <c r="E32">
        <v>676.29090909090905</v>
      </c>
      <c r="F32">
        <v>56</v>
      </c>
      <c r="G32">
        <v>37196</v>
      </c>
      <c r="H32">
        <v>50</v>
      </c>
      <c r="I32">
        <v>0.14084506108901018</v>
      </c>
      <c r="J32">
        <v>14</v>
      </c>
      <c r="K32">
        <v>7.2740784198689736</v>
      </c>
    </row>
    <row r="33" spans="1:11" x14ac:dyDescent="0.35">
      <c r="A33" t="str">
        <f>NFFT_M5[[#This Row],[country]]&amp; " "&amp;NFFT_M5[[#This Row],[cluster]]</f>
        <v>Iran 3</v>
      </c>
      <c r="B33" t="s">
        <v>13</v>
      </c>
      <c r="C33">
        <v>3</v>
      </c>
      <c r="D33">
        <v>7.601</v>
      </c>
      <c r="E33">
        <v>1040.3499999999999</v>
      </c>
      <c r="F33">
        <v>41</v>
      </c>
      <c r="G33">
        <v>41614</v>
      </c>
      <c r="H33">
        <v>15</v>
      </c>
      <c r="I33">
        <v>0.45260184817408372</v>
      </c>
      <c r="J33">
        <v>3</v>
      </c>
      <c r="K33">
        <v>37.977640885238422</v>
      </c>
    </row>
    <row r="34" spans="1:11" x14ac:dyDescent="0.35">
      <c r="A34" t="str">
        <f>NFFT_M5[[#This Row],[country]]&amp; " "&amp;NFFT_M5[[#This Row],[cluster]]</f>
        <v>Nicaragua 1</v>
      </c>
      <c r="B34" t="s">
        <v>14</v>
      </c>
      <c r="C34">
        <v>1</v>
      </c>
      <c r="D34">
        <v>2.762</v>
      </c>
      <c r="E34">
        <v>450.0990099009901</v>
      </c>
      <c r="F34">
        <v>102</v>
      </c>
      <c r="G34">
        <v>45460</v>
      </c>
      <c r="H34">
        <v>45.098039215686278</v>
      </c>
      <c r="I34">
        <v>0.12237186265780975</v>
      </c>
      <c r="J34">
        <v>23</v>
      </c>
      <c r="K34">
        <v>5.4114215992619705</v>
      </c>
    </row>
    <row r="35" spans="1:11" x14ac:dyDescent="0.35">
      <c r="A35" t="str">
        <f>NFFT_M5[[#This Row],[country]]&amp; " "&amp;NFFT_M5[[#This Row],[cluster]]</f>
        <v>El Salvador 1</v>
      </c>
      <c r="B35" t="s">
        <v>15</v>
      </c>
      <c r="C35">
        <v>1</v>
      </c>
      <c r="D35">
        <v>3.1349999999999998</v>
      </c>
      <c r="E35">
        <v>514.28089887640454</v>
      </c>
      <c r="F35">
        <v>90</v>
      </c>
      <c r="G35">
        <v>45771</v>
      </c>
      <c r="H35">
        <v>40</v>
      </c>
      <c r="I35">
        <v>0.13965082471186538</v>
      </c>
      <c r="J35">
        <v>18</v>
      </c>
      <c r="K35">
        <v>6.9618982432124117</v>
      </c>
    </row>
    <row r="36" spans="1:11" x14ac:dyDescent="0.35">
      <c r="A36" t="str">
        <f>NFFT_M5[[#This Row],[country]]&amp; " "&amp;NFFT_M5[[#This Row],[cluster]]</f>
        <v>Costa Rica 1</v>
      </c>
      <c r="B36" t="s">
        <v>16</v>
      </c>
      <c r="C36">
        <v>1</v>
      </c>
      <c r="D36">
        <v>2.6720000000000002</v>
      </c>
      <c r="E36">
        <v>471.94845360824741</v>
      </c>
      <c r="F36">
        <v>98</v>
      </c>
      <c r="G36">
        <v>45779</v>
      </c>
      <c r="H36">
        <v>46.938775510204088</v>
      </c>
      <c r="I36">
        <v>0.15446795925108486</v>
      </c>
      <c r="J36">
        <v>23.000000000000004</v>
      </c>
      <c r="K36">
        <v>5.4493943993095844</v>
      </c>
    </row>
    <row r="37" spans="1:11" x14ac:dyDescent="0.35">
      <c r="A37" t="str">
        <f>NFFT_M5[[#This Row],[country]]&amp; " "&amp;NFFT_M5[[#This Row],[cluster]]</f>
        <v>Dominican 1</v>
      </c>
      <c r="B37" t="s">
        <v>17</v>
      </c>
      <c r="C37">
        <v>1</v>
      </c>
      <c r="D37">
        <v>2.2280000000000002</v>
      </c>
      <c r="E37">
        <v>564.70833333333337</v>
      </c>
      <c r="F37">
        <v>73</v>
      </c>
      <c r="G37">
        <v>40659</v>
      </c>
      <c r="H37">
        <v>50</v>
      </c>
      <c r="I37">
        <v>0.13092093493340787</v>
      </c>
      <c r="J37">
        <v>18</v>
      </c>
      <c r="K37">
        <v>6.1843486196668955</v>
      </c>
    </row>
    <row r="38" spans="1:11" x14ac:dyDescent="0.35">
      <c r="A38" t="str">
        <f>NFFT_M5[[#This Row],[country]]&amp; " "&amp;NFFT_M5[[#This Row],[cluster]]</f>
        <v>Dominican 2</v>
      </c>
      <c r="B38" t="s">
        <v>17</v>
      </c>
      <c r="C38">
        <v>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35">
      <c r="A39" t="str">
        <f>NFFT_M5[[#This Row],[country]]&amp; " "&amp;NFFT_M5[[#This Row],[cluster]]</f>
        <v>Chile 1</v>
      </c>
      <c r="B39" t="s">
        <v>18</v>
      </c>
      <c r="C39">
        <v>1</v>
      </c>
      <c r="D39">
        <v>1.8919999999999999</v>
      </c>
      <c r="E39">
        <v>345.94573643410854</v>
      </c>
      <c r="F39">
        <v>130</v>
      </c>
      <c r="G39">
        <v>44627</v>
      </c>
      <c r="H39">
        <v>64.615384615384613</v>
      </c>
      <c r="I39">
        <v>0.13434376742209431</v>
      </c>
      <c r="J39">
        <v>42</v>
      </c>
      <c r="K39">
        <v>2.9090968351748638</v>
      </c>
    </row>
    <row r="40" spans="1:11" x14ac:dyDescent="0.35">
      <c r="A40" t="str">
        <f>NFFT_M5[[#This Row],[country]]&amp; " "&amp;NFFT_M5[[#This Row],[cluster]]</f>
        <v>Chile 2</v>
      </c>
      <c r="B40" t="s">
        <v>18</v>
      </c>
      <c r="C40">
        <v>2</v>
      </c>
      <c r="D40">
        <v>1.748</v>
      </c>
      <c r="E40">
        <v>423.88607594936707</v>
      </c>
      <c r="F40">
        <v>80</v>
      </c>
      <c r="G40">
        <v>33487</v>
      </c>
      <c r="H40">
        <v>52.5</v>
      </c>
      <c r="I40">
        <v>0.15265829481687998</v>
      </c>
      <c r="J40">
        <v>21</v>
      </c>
      <c r="K40">
        <v>4.3658290146996519</v>
      </c>
    </row>
    <row r="41" spans="1:11" x14ac:dyDescent="0.35">
      <c r="A41" t="str">
        <f>NFFT_M5[[#This Row],[country]]&amp; " "&amp;NFFT_M5[[#This Row],[cluster]]</f>
        <v>Chile 3</v>
      </c>
      <c r="B41" t="s">
        <v>18</v>
      </c>
      <c r="C41">
        <v>3</v>
      </c>
      <c r="D41">
        <v>2.1190000000000002</v>
      </c>
      <c r="E41">
        <v>543.20895522388059</v>
      </c>
      <c r="F41">
        <v>68</v>
      </c>
      <c r="G41">
        <v>36395</v>
      </c>
      <c r="H41">
        <v>47.058823529411761</v>
      </c>
      <c r="I41">
        <v>7.9839193248305476E-2</v>
      </c>
      <c r="J41">
        <v>16</v>
      </c>
      <c r="K41">
        <v>6.2277549623545516</v>
      </c>
    </row>
    <row r="42" spans="1:11" x14ac:dyDescent="0.35">
      <c r="A42" t="str">
        <f>NFFT_M5[[#This Row],[country]]&amp; " "&amp;NFFT_M5[[#This Row],[cluster]]</f>
        <v>Argentina 1</v>
      </c>
      <c r="B42" t="s">
        <v>19</v>
      </c>
      <c r="C42">
        <v>1</v>
      </c>
      <c r="D42">
        <v>2.2949999999999999</v>
      </c>
      <c r="E42">
        <v>502.03896103896102</v>
      </c>
      <c r="F42">
        <v>78</v>
      </c>
      <c r="G42">
        <v>38657</v>
      </c>
      <c r="H42">
        <v>46.153846153846153</v>
      </c>
      <c r="I42">
        <v>0.13012821899149665</v>
      </c>
      <c r="J42">
        <v>18</v>
      </c>
      <c r="K42">
        <v>5.8798387710092026</v>
      </c>
    </row>
    <row r="43" spans="1:11" x14ac:dyDescent="0.35">
      <c r="A43" t="str">
        <f>NFFT_M5[[#This Row],[country]]&amp; " "&amp;NFFT_M5[[#This Row],[cluster]]</f>
        <v>Argentina 2</v>
      </c>
      <c r="B43" t="s">
        <v>19</v>
      </c>
      <c r="C43">
        <v>2</v>
      </c>
      <c r="D43">
        <v>2.4870000000000001</v>
      </c>
      <c r="E43">
        <v>526.15942028985512</v>
      </c>
      <c r="F43">
        <v>70</v>
      </c>
      <c r="G43">
        <v>36305</v>
      </c>
      <c r="H43">
        <v>40</v>
      </c>
      <c r="I43">
        <v>0.17039183306109337</v>
      </c>
      <c r="J43">
        <v>14</v>
      </c>
      <c r="K43">
        <v>7.0998337733450674</v>
      </c>
    </row>
    <row r="44" spans="1:11" x14ac:dyDescent="0.35">
      <c r="A44" t="str">
        <f>NFFT_M5[[#This Row],[country]]&amp; " "&amp;NFFT_M5[[#This Row],[cluster]]</f>
        <v>Argentina 3</v>
      </c>
      <c r="B44" t="s">
        <v>19</v>
      </c>
      <c r="C44">
        <v>3</v>
      </c>
      <c r="D44">
        <v>1.8819999999999999</v>
      </c>
      <c r="E44">
        <v>840.9591836734694</v>
      </c>
      <c r="F44">
        <v>50</v>
      </c>
      <c r="G44">
        <v>41207</v>
      </c>
      <c r="H44">
        <v>60</v>
      </c>
      <c r="I44">
        <v>0.24580388799339062</v>
      </c>
      <c r="J44">
        <v>15</v>
      </c>
      <c r="K44">
        <v>7.5212411590235</v>
      </c>
    </row>
    <row r="45" spans="1:11" x14ac:dyDescent="0.35">
      <c r="A45" t="str">
        <f>NFFT_M5[[#This Row],[country]]&amp; " "&amp;NFFT_M5[[#This Row],[cluster]]</f>
        <v>Peru 1</v>
      </c>
      <c r="B45" t="s">
        <v>20</v>
      </c>
      <c r="C45">
        <v>1</v>
      </c>
      <c r="D45">
        <v>2.57</v>
      </c>
      <c r="E45">
        <v>388.89285714285717</v>
      </c>
      <c r="F45">
        <v>113</v>
      </c>
      <c r="G45">
        <v>43556</v>
      </c>
      <c r="H45">
        <v>46.428571428571431</v>
      </c>
      <c r="I45">
        <v>0.21466532989933518</v>
      </c>
      <c r="J45">
        <v>26</v>
      </c>
      <c r="K45">
        <v>4.586531880166377</v>
      </c>
    </row>
    <row r="46" spans="1:11" x14ac:dyDescent="0.35">
      <c r="A46" t="str">
        <f>NFFT_M5[[#This Row],[country]]&amp; " "&amp;NFFT_M5[[#This Row],[cluster]]</f>
        <v>Peru 2</v>
      </c>
      <c r="B46" t="s">
        <v>20</v>
      </c>
      <c r="C46">
        <v>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35">
      <c r="A47" t="str">
        <f>NFFT_M5[[#This Row],[country]]&amp; " "&amp;NFFT_M5[[#This Row],[cluster]]</f>
        <v>Peru 3</v>
      </c>
      <c r="B47" t="s">
        <v>20</v>
      </c>
      <c r="C47">
        <v>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35">
      <c r="A48" t="str">
        <f>NFFT_M5[[#This Row],[country]]&amp; " "&amp;NFFT_M5[[#This Row],[cluster]]</f>
        <v>Colombia 1</v>
      </c>
      <c r="B48" t="s">
        <v>21</v>
      </c>
      <c r="C48">
        <v>1</v>
      </c>
      <c r="D48">
        <v>2.2029999999999998</v>
      </c>
      <c r="E48">
        <v>554.97435897435901</v>
      </c>
      <c r="F48">
        <v>79</v>
      </c>
      <c r="G48">
        <v>43288</v>
      </c>
      <c r="H48">
        <v>53.846153846153847</v>
      </c>
      <c r="I48">
        <v>0.11733285877655156</v>
      </c>
      <c r="J48">
        <v>21</v>
      </c>
      <c r="K48">
        <v>5.6436230892083055</v>
      </c>
    </row>
    <row r="49" spans="1:11" x14ac:dyDescent="0.35">
      <c r="A49" t="str">
        <f>NFFT_M5[[#This Row],[country]]&amp; " "&amp;NFFT_M5[[#This Row],[cluster]]</f>
        <v>Colombia 2</v>
      </c>
      <c r="B49" t="s">
        <v>21</v>
      </c>
      <c r="C49">
        <v>2</v>
      </c>
      <c r="D49">
        <v>7.5490000000000004</v>
      </c>
      <c r="E49">
        <v>1405.8214285714287</v>
      </c>
      <c r="F49">
        <v>29</v>
      </c>
      <c r="G49">
        <v>39363</v>
      </c>
      <c r="H49">
        <v>14.285714285714285</v>
      </c>
      <c r="I49">
        <v>1.2795579023215922</v>
      </c>
      <c r="J49">
        <v>2</v>
      </c>
      <c r="K49">
        <v>53.885010266940455</v>
      </c>
    </row>
    <row r="50" spans="1:11" x14ac:dyDescent="0.35">
      <c r="A50" t="str">
        <f>NFFT_M5[[#This Row],[country]]&amp; " "&amp;NFFT_M5[[#This Row],[cluster]]</f>
        <v>Colombia 3</v>
      </c>
      <c r="B50" t="s">
        <v>21</v>
      </c>
      <c r="C50">
        <v>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35">
      <c r="A51" t="str">
        <f>NFFT_M5[[#This Row],[country]]&amp; " "&amp;NFFT_M5[[#This Row],[cluster]]</f>
        <v>Indonesia 1</v>
      </c>
      <c r="B51" t="s">
        <v>22</v>
      </c>
      <c r="C51">
        <v>1</v>
      </c>
      <c r="D51">
        <v>1.4910000000000001</v>
      </c>
      <c r="E51">
        <v>322.42657342657344</v>
      </c>
      <c r="F51">
        <v>144</v>
      </c>
      <c r="G51">
        <v>46107</v>
      </c>
      <c r="H51">
        <v>84.722222222222214</v>
      </c>
      <c r="I51">
        <v>0.12504851224200905</v>
      </c>
      <c r="J51">
        <v>61</v>
      </c>
      <c r="K51">
        <v>2.0694112498737671</v>
      </c>
    </row>
    <row r="52" spans="1:11" x14ac:dyDescent="0.35">
      <c r="A52" t="str">
        <f>NFFT_M5[[#This Row],[country]]&amp; " "&amp;NFFT_M5[[#This Row],[cluster]]</f>
        <v>Indonesia 2</v>
      </c>
      <c r="B52" t="s">
        <v>22</v>
      </c>
      <c r="C52">
        <v>2</v>
      </c>
      <c r="D52">
        <v>3.8839999999999999</v>
      </c>
      <c r="E52">
        <v>1143.1612903225807</v>
      </c>
      <c r="F52">
        <v>32</v>
      </c>
      <c r="G52">
        <v>35438</v>
      </c>
      <c r="H52">
        <v>25</v>
      </c>
      <c r="I52">
        <v>0.29645918989125836</v>
      </c>
      <c r="J52">
        <v>4</v>
      </c>
      <c r="K52">
        <v>24.255989048596852</v>
      </c>
    </row>
    <row r="53" spans="1:11" x14ac:dyDescent="0.35">
      <c r="A53" t="str">
        <f>NFFT_M5[[#This Row],[country]]&amp; " "&amp;NFFT_M5[[#This Row],[cluster]]</f>
        <v>Indonesia 3</v>
      </c>
      <c r="B53" t="s">
        <v>22</v>
      </c>
      <c r="C53">
        <v>3</v>
      </c>
      <c r="D53">
        <v>1.069</v>
      </c>
      <c r="E53">
        <v>693.93333333333328</v>
      </c>
      <c r="F53">
        <v>31</v>
      </c>
      <c r="G53">
        <v>20818</v>
      </c>
      <c r="H53">
        <v>53.333333333333336</v>
      </c>
      <c r="I53">
        <v>0.43029234409990796</v>
      </c>
      <c r="J53">
        <v>8</v>
      </c>
      <c r="K53">
        <v>7.1245722108145104</v>
      </c>
    </row>
    <row r="54" spans="1:11" x14ac:dyDescent="0.35">
      <c r="A54" t="str">
        <f>NFFT_M5[[#This Row],[country]]&amp; " "&amp;NFFT_M5[[#This Row],[cluster]]</f>
        <v>Timor Leste 1</v>
      </c>
      <c r="B54" t="s">
        <v>23</v>
      </c>
      <c r="C54">
        <v>1</v>
      </c>
      <c r="D54">
        <v>2.819</v>
      </c>
      <c r="E54">
        <v>454.64948453608247</v>
      </c>
      <c r="F54">
        <v>98</v>
      </c>
      <c r="G54">
        <v>44101</v>
      </c>
      <c r="H54">
        <v>42.857142857142868</v>
      </c>
      <c r="I54">
        <v>0.14291663946197525</v>
      </c>
      <c r="J54">
        <v>21.000000000000004</v>
      </c>
      <c r="K54">
        <v>5.749617026824418</v>
      </c>
    </row>
    <row r="55" spans="1:11" x14ac:dyDescent="0.35">
      <c r="A55" t="str">
        <f>NFFT_M5[[#This Row],[country]]&amp; " "&amp;NFFT_M5[[#This Row],[cluster]]</f>
        <v>Australia 1</v>
      </c>
      <c r="B55" t="s">
        <v>24</v>
      </c>
      <c r="C55">
        <v>1</v>
      </c>
      <c r="D55">
        <v>2.2029999999999998</v>
      </c>
      <c r="E55">
        <v>499.25675675675677</v>
      </c>
      <c r="F55">
        <v>75</v>
      </c>
      <c r="G55">
        <v>36945</v>
      </c>
      <c r="H55">
        <v>45.945945945945951</v>
      </c>
      <c r="I55">
        <v>0.14564562613703927</v>
      </c>
      <c r="J55">
        <v>17</v>
      </c>
      <c r="K55">
        <v>5.9499939606232628</v>
      </c>
    </row>
    <row r="56" spans="1:11" x14ac:dyDescent="0.35">
      <c r="A56" t="str">
        <f>NFFT_M5[[#This Row],[country]]&amp; " "&amp;NFFT_M5[[#This Row],[cluster]]</f>
        <v>Australia 2</v>
      </c>
      <c r="B56" t="s">
        <v>24</v>
      </c>
      <c r="C56">
        <v>2</v>
      </c>
      <c r="D56">
        <v>2.0640000000000001</v>
      </c>
      <c r="E56">
        <v>734.70212765957444</v>
      </c>
      <c r="F56">
        <v>48</v>
      </c>
      <c r="G56">
        <v>34531</v>
      </c>
      <c r="H56">
        <v>45.833333333333329</v>
      </c>
      <c r="I56">
        <v>0.17732269336058842</v>
      </c>
      <c r="J56">
        <v>11</v>
      </c>
      <c r="K56">
        <v>8.5946114118598711</v>
      </c>
    </row>
    <row r="57" spans="1:11" x14ac:dyDescent="0.35">
      <c r="A57" t="str">
        <f>NFFT_M5[[#This Row],[country]]&amp; " "&amp;NFFT_M5[[#This Row],[cluster]]</f>
        <v>Australia 3</v>
      </c>
      <c r="B57" t="s">
        <v>24</v>
      </c>
      <c r="C57">
        <v>3</v>
      </c>
      <c r="D57">
        <v>1.9079999999999999</v>
      </c>
      <c r="E57">
        <v>789.57142857142856</v>
      </c>
      <c r="F57">
        <v>43</v>
      </c>
      <c r="G57">
        <v>33162</v>
      </c>
      <c r="H57">
        <v>47.619047619047613</v>
      </c>
      <c r="I57">
        <v>0.27321224217426143</v>
      </c>
      <c r="J57">
        <v>10</v>
      </c>
      <c r="K57">
        <v>9.0792607802874734</v>
      </c>
    </row>
    <row r="58" spans="1:11" x14ac:dyDescent="0.35">
      <c r="A58" t="str">
        <f>NFFT_M5[[#This Row],[country]]&amp; " "&amp;NFFT_M5[[#This Row],[cluster]]</f>
        <v>New Zealand 1</v>
      </c>
      <c r="B58" t="s">
        <v>25</v>
      </c>
      <c r="C58">
        <v>1</v>
      </c>
      <c r="D58">
        <v>1.68</v>
      </c>
      <c r="E58">
        <v>348.95867768595042</v>
      </c>
      <c r="F58">
        <v>122</v>
      </c>
      <c r="G58">
        <v>42224</v>
      </c>
      <c r="H58">
        <v>68.852459016393439</v>
      </c>
      <c r="I58">
        <v>0.14959379725885322</v>
      </c>
      <c r="J58">
        <v>42</v>
      </c>
      <c r="K58">
        <v>2.7524526579968058</v>
      </c>
    </row>
    <row r="59" spans="1:11" x14ac:dyDescent="0.35">
      <c r="A59" t="str">
        <f>NFFT_M5[[#This Row],[country]]&amp; " "&amp;NFFT_M5[[#This Row],[cluster]]</f>
        <v>New Zealand 2</v>
      </c>
      <c r="B59" t="s">
        <v>25</v>
      </c>
      <c r="C59">
        <v>2</v>
      </c>
      <c r="D59">
        <v>2.6920000000000002</v>
      </c>
      <c r="E59">
        <v>491.26249999999999</v>
      </c>
      <c r="F59">
        <v>81</v>
      </c>
      <c r="G59">
        <v>39301</v>
      </c>
      <c r="H59">
        <v>40</v>
      </c>
      <c r="I59">
        <v>0.12352986389395902</v>
      </c>
      <c r="J59">
        <v>16</v>
      </c>
      <c r="K59">
        <v>6.7250171115674195</v>
      </c>
    </row>
    <row r="60" spans="1:11" x14ac:dyDescent="0.35">
      <c r="A60" t="str">
        <f>NFFT_M5[[#This Row],[country]]&amp; " "&amp;NFFT_M5[[#This Row],[cluster]]</f>
        <v>Algeria 1</v>
      </c>
      <c r="B60" t="s">
        <v>26</v>
      </c>
      <c r="C60">
        <v>1</v>
      </c>
      <c r="E60">
        <v>1710.375</v>
      </c>
      <c r="F60">
        <v>25</v>
      </c>
      <c r="G60">
        <v>41049</v>
      </c>
      <c r="H60">
        <v>0</v>
      </c>
      <c r="I60">
        <v>0</v>
      </c>
      <c r="J60">
        <v>0</v>
      </c>
      <c r="K60">
        <v>0</v>
      </c>
    </row>
    <row r="61" spans="1:11" x14ac:dyDescent="0.35">
      <c r="A61" t="str">
        <f>NFFT_M5[[#This Row],[country]]&amp; " "&amp;NFFT_M5[[#This Row],[cluster]]</f>
        <v>Algeria 2</v>
      </c>
      <c r="B61" t="s">
        <v>26</v>
      </c>
      <c r="C61">
        <v>2</v>
      </c>
      <c r="E61">
        <v>2669.2142857142858</v>
      </c>
      <c r="F61">
        <v>15</v>
      </c>
      <c r="G61">
        <v>37369</v>
      </c>
      <c r="H61">
        <v>0</v>
      </c>
      <c r="I61">
        <v>0</v>
      </c>
      <c r="J61">
        <v>0</v>
      </c>
      <c r="K61">
        <v>0</v>
      </c>
    </row>
    <row r="62" spans="1:11" x14ac:dyDescent="0.35">
      <c r="A62" t="str">
        <f>NFFT_M5[[#This Row],[country]]&amp; " "&amp;NFFT_M5[[#This Row],[cluster]]</f>
        <v>Algeria 3</v>
      </c>
      <c r="B62" t="s">
        <v>26</v>
      </c>
      <c r="C62">
        <v>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35">
      <c r="A63" t="str">
        <f>NFFT_M5[[#This Row],[country]]&amp; " "&amp;NFFT_M5[[#This Row],[cluster]]</f>
        <v>Somalia 1</v>
      </c>
      <c r="B63" t="s">
        <v>27</v>
      </c>
      <c r="C63">
        <v>1</v>
      </c>
      <c r="D63">
        <v>1.246</v>
      </c>
      <c r="E63">
        <v>566.81578947368416</v>
      </c>
      <c r="F63">
        <v>39</v>
      </c>
      <c r="G63">
        <v>21539</v>
      </c>
      <c r="H63">
        <v>47.368421052631575</v>
      </c>
      <c r="I63">
        <v>0.29030573446295438</v>
      </c>
      <c r="J63">
        <v>9</v>
      </c>
      <c r="K63">
        <v>6.5522853448931473</v>
      </c>
    </row>
    <row r="64" spans="1:11" x14ac:dyDescent="0.35">
      <c r="A64" t="str">
        <f>NFFT_M5[[#This Row],[country]]&amp; " "&amp;NFFT_M5[[#This Row],[cluster]]</f>
        <v>Somalia 2</v>
      </c>
      <c r="B64" t="s">
        <v>27</v>
      </c>
      <c r="C64">
        <v>2</v>
      </c>
      <c r="D64">
        <v>3.294</v>
      </c>
      <c r="E64">
        <v>1479.64</v>
      </c>
      <c r="F64">
        <v>26</v>
      </c>
      <c r="G64">
        <v>36991</v>
      </c>
      <c r="H64">
        <v>30.76923076923077</v>
      </c>
      <c r="I64">
        <v>0.22021340716232096</v>
      </c>
      <c r="J64">
        <v>4</v>
      </c>
      <c r="K64">
        <v>25.318959616700891</v>
      </c>
    </row>
    <row r="65" spans="1:11" x14ac:dyDescent="0.35">
      <c r="A65" t="str">
        <f>NFFT_M5[[#This Row],[country]]&amp; " "&amp;NFFT_M5[[#This Row],[cluster]]</f>
        <v>South Africa 1</v>
      </c>
      <c r="B65" t="s">
        <v>28</v>
      </c>
      <c r="C65">
        <v>1</v>
      </c>
      <c r="D65">
        <v>1.3320000000000001</v>
      </c>
      <c r="E65">
        <v>1139.875</v>
      </c>
      <c r="F65">
        <v>17</v>
      </c>
      <c r="G65">
        <v>18238</v>
      </c>
      <c r="H65">
        <v>37.5</v>
      </c>
      <c r="I65">
        <v>1.0494529831110924</v>
      </c>
      <c r="J65">
        <v>3</v>
      </c>
      <c r="K65">
        <v>16.644307551905086</v>
      </c>
    </row>
    <row r="66" spans="1:11" x14ac:dyDescent="0.35">
      <c r="A66" t="str">
        <f>NFFT_M5[[#This Row],[country]]&amp; " "&amp;NFFT_M5[[#This Row],[cluster]]</f>
        <v>South Africa 2</v>
      </c>
      <c r="B66" t="s">
        <v>28</v>
      </c>
      <c r="C66">
        <v>2</v>
      </c>
      <c r="D66">
        <v>1.032</v>
      </c>
      <c r="E66">
        <v>482.74358974358972</v>
      </c>
      <c r="F66">
        <v>40</v>
      </c>
      <c r="G66">
        <v>18827</v>
      </c>
      <c r="H66">
        <v>50</v>
      </c>
      <c r="I66">
        <v>0.39958587359686115</v>
      </c>
      <c r="J66">
        <v>10</v>
      </c>
      <c r="K66">
        <v>5.1545516769336075</v>
      </c>
    </row>
    <row r="67" spans="1:11" x14ac:dyDescent="0.35">
      <c r="A67" t="str">
        <f>NFFT_M5[[#This Row],[country]]&amp; " "&amp;NFFT_M5[[#This Row],[cluster]]</f>
        <v>South Africa 3</v>
      </c>
      <c r="B67" t="s">
        <v>28</v>
      </c>
      <c r="C67">
        <v>3</v>
      </c>
      <c r="E67">
        <v>764.27272727272725</v>
      </c>
      <c r="F67">
        <v>23</v>
      </c>
      <c r="G67">
        <v>16814</v>
      </c>
      <c r="H67">
        <v>0</v>
      </c>
      <c r="I67">
        <v>0</v>
      </c>
      <c r="J67">
        <v>0</v>
      </c>
      <c r="K67">
        <v>0</v>
      </c>
    </row>
    <row r="68" spans="1:11" x14ac:dyDescent="0.35">
      <c r="A68" t="str">
        <f>NFFT_M5[[#This Row],[country]]&amp; " "&amp;NFFT_M5[[#This Row],[cluster]]</f>
        <v>Saint Helena 1</v>
      </c>
      <c r="B68" t="s">
        <v>29</v>
      </c>
      <c r="C68">
        <v>1</v>
      </c>
      <c r="D68">
        <v>1.9259999999999999</v>
      </c>
      <c r="E68">
        <v>727.78846153846155</v>
      </c>
      <c r="F68">
        <v>53</v>
      </c>
      <c r="G68">
        <v>37845</v>
      </c>
      <c r="H68">
        <v>53.846153846153847</v>
      </c>
      <c r="I68">
        <v>0.12744770306857708</v>
      </c>
      <c r="J68">
        <v>14</v>
      </c>
      <c r="K68">
        <v>7.4009973599295984</v>
      </c>
    </row>
    <row r="69" spans="1:11" x14ac:dyDescent="0.35">
      <c r="A69" t="str">
        <f>NFFT_M5[[#This Row],[country]]&amp; " "&amp;NFFT_M5[[#This Row],[cluster]]</f>
        <v>Saint Helena 2</v>
      </c>
      <c r="B69" t="s">
        <v>29</v>
      </c>
      <c r="C69">
        <v>2</v>
      </c>
      <c r="E69">
        <v>1704.6363636363637</v>
      </c>
      <c r="F69">
        <v>12</v>
      </c>
      <c r="G69">
        <v>18751</v>
      </c>
      <c r="H69">
        <v>0</v>
      </c>
      <c r="I69">
        <v>0</v>
      </c>
      <c r="J69">
        <v>0</v>
      </c>
      <c r="K69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E1FB7-8837-43BB-9688-C928F03919C1}">
  <dimension ref="A1:K62"/>
  <sheetViews>
    <sheetView workbookViewId="0">
      <selection activeCell="A2" sqref="A2"/>
    </sheetView>
  </sheetViews>
  <sheetFormatPr defaultRowHeight="14.5" x14ac:dyDescent="0.35"/>
  <cols>
    <col min="2" max="2" width="16.6328125" bestFit="1" customWidth="1"/>
    <col min="4" max="4" width="17.26953125" bestFit="1" customWidth="1"/>
    <col min="5" max="5" width="11.81640625" bestFit="1" customWidth="1"/>
    <col min="6" max="6" width="18.08984375" bestFit="1" customWidth="1"/>
    <col min="7" max="7" width="18.90625" bestFit="1" customWidth="1"/>
    <col min="8" max="8" width="11.81640625" bestFit="1" customWidth="1"/>
    <col min="9" max="9" width="18.81640625" bestFit="1" customWidth="1"/>
    <col min="10" max="10" width="18.6328125" bestFit="1" customWidth="1"/>
    <col min="11" max="11" width="29.26953125" bestFit="1" customWidth="1"/>
  </cols>
  <sheetData>
    <row r="1" spans="1:11" x14ac:dyDescent="0.35">
      <c r="B1" t="s">
        <v>0</v>
      </c>
      <c r="C1" t="s">
        <v>30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 x14ac:dyDescent="0.35">
      <c r="A2" t="str">
        <f>NFFT_M6[[#This Row],[country]]&amp; " "&amp;NFFT_M6[[#This Row],[cluster]]</f>
        <v>Japan 1</v>
      </c>
      <c r="B2" t="s">
        <v>2</v>
      </c>
      <c r="C2">
        <v>1</v>
      </c>
      <c r="D2">
        <v>1.833</v>
      </c>
      <c r="E2">
        <v>327.62142857142857</v>
      </c>
      <c r="F2">
        <v>141</v>
      </c>
      <c r="G2">
        <v>45867</v>
      </c>
      <c r="H2">
        <v>68.571428571428569</v>
      </c>
      <c r="I2">
        <v>9.7099664417787473E-2</v>
      </c>
      <c r="J2">
        <v>48</v>
      </c>
      <c r="K2">
        <v>2.6161875427789187</v>
      </c>
    </row>
    <row r="3" spans="1:11" x14ac:dyDescent="0.35">
      <c r="A3" t="str">
        <f>NFFT_M6[[#This Row],[country]]&amp; " "&amp;NFFT_M6[[#This Row],[cluster]]</f>
        <v>Japan 2</v>
      </c>
      <c r="B3" t="s">
        <v>2</v>
      </c>
      <c r="C3">
        <v>2</v>
      </c>
      <c r="D3">
        <v>2.7429999999999999</v>
      </c>
      <c r="E3">
        <v>400.57017543859649</v>
      </c>
      <c r="F3">
        <v>115</v>
      </c>
      <c r="G3">
        <v>45665</v>
      </c>
      <c r="H3">
        <v>45.614035087719294</v>
      </c>
      <c r="I3">
        <v>0.2223200417943173</v>
      </c>
      <c r="J3">
        <v>26</v>
      </c>
      <c r="K3">
        <v>4.8086136997841313</v>
      </c>
    </row>
    <row r="4" spans="1:11" x14ac:dyDescent="0.35">
      <c r="A4" t="str">
        <f>NFFT_M6[[#This Row],[country]]&amp; " "&amp;NFFT_M6[[#This Row],[cluster]]</f>
        <v>Japan 3</v>
      </c>
      <c r="B4" t="s">
        <v>2</v>
      </c>
      <c r="C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tr">
        <f>NFFT_M6[[#This Row],[country]]&amp; " "&amp;NFFT_M6[[#This Row],[cluster]]</f>
        <v>Papua New Guinea 1</v>
      </c>
      <c r="B5" t="s">
        <v>3</v>
      </c>
      <c r="C5">
        <v>1</v>
      </c>
      <c r="D5">
        <v>2.11</v>
      </c>
      <c r="E5">
        <v>330.02857142857141</v>
      </c>
      <c r="F5">
        <v>141</v>
      </c>
      <c r="G5">
        <v>46204</v>
      </c>
      <c r="H5">
        <v>60</v>
      </c>
      <c r="I5">
        <v>0.10182727123688373</v>
      </c>
      <c r="J5">
        <v>42</v>
      </c>
      <c r="K5">
        <v>3.0118966135393239</v>
      </c>
    </row>
    <row r="6" spans="1:11" x14ac:dyDescent="0.35">
      <c r="A6" t="str">
        <f>NFFT_M6[[#This Row],[country]]&amp; " "&amp;NFFT_M6[[#This Row],[cluster]]</f>
        <v>Papua New Guinea 2</v>
      </c>
      <c r="B6" t="s">
        <v>3</v>
      </c>
      <c r="C6">
        <v>2</v>
      </c>
      <c r="E6">
        <v>2172.4545454545455</v>
      </c>
      <c r="F6">
        <v>12</v>
      </c>
      <c r="G6">
        <v>23897</v>
      </c>
      <c r="H6">
        <v>0</v>
      </c>
      <c r="I6">
        <v>0</v>
      </c>
      <c r="J6">
        <v>0</v>
      </c>
      <c r="K6">
        <v>0</v>
      </c>
    </row>
    <row r="7" spans="1:11" x14ac:dyDescent="0.35">
      <c r="A7" t="str">
        <f>NFFT_M6[[#This Row],[country]]&amp; " "&amp;NFFT_M6[[#This Row],[cluster]]</f>
        <v>Papua New Guinea 3</v>
      </c>
      <c r="B7" t="s">
        <v>3</v>
      </c>
      <c r="C7">
        <v>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tr">
        <f>NFFT_M6[[#This Row],[country]]&amp; " "&amp;NFFT_M6[[#This Row],[cluster]]</f>
        <v>Philippines 1</v>
      </c>
      <c r="B8" t="s">
        <v>4</v>
      </c>
      <c r="C8">
        <v>1</v>
      </c>
      <c r="D8">
        <v>1.5920000000000001</v>
      </c>
      <c r="E8">
        <v>329.463768115942</v>
      </c>
      <c r="F8">
        <v>139</v>
      </c>
      <c r="G8">
        <v>45466</v>
      </c>
      <c r="H8">
        <v>78.260869565217391</v>
      </c>
      <c r="I8">
        <v>0.16746840988168801</v>
      </c>
      <c r="J8">
        <v>54</v>
      </c>
      <c r="K8">
        <v>2.3051689608842243</v>
      </c>
    </row>
    <row r="9" spans="1:11" x14ac:dyDescent="0.35">
      <c r="A9" t="str">
        <f>NFFT_M6[[#This Row],[country]]&amp; " "&amp;NFFT_M6[[#This Row],[cluster]]</f>
        <v>Tonga 1</v>
      </c>
      <c r="B9" t="s">
        <v>5</v>
      </c>
      <c r="C9">
        <v>1</v>
      </c>
      <c r="D9">
        <v>1.6619999999999999</v>
      </c>
      <c r="E9">
        <v>362.94354838709677</v>
      </c>
      <c r="F9">
        <v>125</v>
      </c>
      <c r="G9">
        <v>45005</v>
      </c>
      <c r="H9">
        <v>74.193548387096769</v>
      </c>
      <c r="I9">
        <v>0.14347172190331503</v>
      </c>
      <c r="J9">
        <v>46</v>
      </c>
      <c r="K9">
        <v>2.6786298842365261</v>
      </c>
    </row>
    <row r="10" spans="1:11" x14ac:dyDescent="0.35">
      <c r="A10" t="str">
        <f>NFFT_M6[[#This Row],[country]]&amp; " "&amp;NFFT_M6[[#This Row],[cluster]]</f>
        <v>USA 1</v>
      </c>
      <c r="B10" t="s">
        <v>6</v>
      </c>
      <c r="C10">
        <v>1</v>
      </c>
      <c r="D10">
        <v>1.804</v>
      </c>
      <c r="E10">
        <v>331.89855072463769</v>
      </c>
      <c r="F10">
        <v>139</v>
      </c>
      <c r="G10">
        <v>45802</v>
      </c>
      <c r="H10">
        <v>69.565217391304344</v>
      </c>
      <c r="I10">
        <v>0.12009596928589343</v>
      </c>
      <c r="J10">
        <v>48</v>
      </c>
      <c r="K10">
        <v>2.6124800365046772</v>
      </c>
    </row>
    <row r="11" spans="1:11" x14ac:dyDescent="0.35">
      <c r="A11" t="str">
        <f>NFFT_M6[[#This Row],[country]]&amp; " "&amp;NFFT_M6[[#This Row],[cluster]]</f>
        <v>USA 2</v>
      </c>
      <c r="B11" t="s">
        <v>6</v>
      </c>
      <c r="C11">
        <v>2</v>
      </c>
      <c r="D11">
        <v>2.3220000000000001</v>
      </c>
      <c r="E11">
        <v>766.15254237288138</v>
      </c>
      <c r="F11">
        <v>60</v>
      </c>
      <c r="G11">
        <v>45203</v>
      </c>
      <c r="H11">
        <v>53.333333333333336</v>
      </c>
      <c r="I11">
        <v>0.30502141001759681</v>
      </c>
      <c r="J11">
        <v>16</v>
      </c>
      <c r="K11">
        <v>7.7349418206707732</v>
      </c>
    </row>
    <row r="12" spans="1:11" x14ac:dyDescent="0.35">
      <c r="A12" t="str">
        <f>NFFT_M6[[#This Row],[country]]&amp; " "&amp;NFFT_M6[[#This Row],[cluster]]</f>
        <v>USA 3</v>
      </c>
      <c r="B12" t="s">
        <v>6</v>
      </c>
      <c r="C12">
        <v>3</v>
      </c>
      <c r="D12">
        <v>4.532</v>
      </c>
      <c r="E12">
        <v>1722.9583333333333</v>
      </c>
      <c r="F12">
        <v>25</v>
      </c>
      <c r="G12">
        <v>41351</v>
      </c>
      <c r="H12">
        <v>25</v>
      </c>
      <c r="I12">
        <v>1.2044540960230579</v>
      </c>
      <c r="J12">
        <v>3</v>
      </c>
      <c r="K12">
        <v>37.737622632899836</v>
      </c>
    </row>
    <row r="13" spans="1:11" x14ac:dyDescent="0.35">
      <c r="A13" t="str">
        <f>NFFT_M6[[#This Row],[country]]&amp; " "&amp;NFFT_M6[[#This Row],[cluster]]</f>
        <v>Mexico 1</v>
      </c>
      <c r="B13" t="s">
        <v>7</v>
      </c>
      <c r="C13">
        <v>1</v>
      </c>
      <c r="D13">
        <v>3.0139999999999998</v>
      </c>
      <c r="E13">
        <v>422.04587155963304</v>
      </c>
      <c r="F13">
        <v>110</v>
      </c>
      <c r="G13">
        <v>46003</v>
      </c>
      <c r="H13">
        <v>41.818181818181813</v>
      </c>
      <c r="I13">
        <v>0.1789613453364404</v>
      </c>
      <c r="J13">
        <v>23</v>
      </c>
      <c r="K13">
        <v>5.4760586852364375</v>
      </c>
    </row>
    <row r="14" spans="1:11" x14ac:dyDescent="0.35">
      <c r="A14" t="str">
        <f>NFFT_M6[[#This Row],[country]]&amp; " "&amp;NFFT_M6[[#This Row],[cluster]]</f>
        <v>Mexico 2</v>
      </c>
      <c r="B14" t="s">
        <v>7</v>
      </c>
      <c r="C14">
        <v>2</v>
      </c>
      <c r="D14">
        <v>2.335</v>
      </c>
      <c r="E14">
        <v>663.61764705882354</v>
      </c>
      <c r="F14">
        <v>69</v>
      </c>
      <c r="G14">
        <v>45126</v>
      </c>
      <c r="H14">
        <v>52.941176470588239</v>
      </c>
      <c r="I14">
        <v>0.23401214446690924</v>
      </c>
      <c r="J14">
        <v>18</v>
      </c>
      <c r="K14">
        <v>6.8637919233401776</v>
      </c>
    </row>
    <row r="15" spans="1:11" x14ac:dyDescent="0.35">
      <c r="A15" t="str">
        <f>NFFT_M6[[#This Row],[country]]&amp; " "&amp;NFFT_M6[[#This Row],[cluster]]</f>
        <v>Mexico 3</v>
      </c>
      <c r="B15" t="s">
        <v>7</v>
      </c>
      <c r="C15">
        <v>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5">
      <c r="A16" t="str">
        <f>NFFT_M6[[#This Row],[country]]&amp; " "&amp;NFFT_M6[[#This Row],[cluster]]</f>
        <v>Canada 1</v>
      </c>
      <c r="B16" t="s">
        <v>8</v>
      </c>
      <c r="C16">
        <v>1</v>
      </c>
      <c r="D16">
        <v>2.8479999999999999</v>
      </c>
      <c r="E16">
        <v>693.11666666666667</v>
      </c>
      <c r="F16">
        <v>61</v>
      </c>
      <c r="G16">
        <v>41587</v>
      </c>
      <c r="H16">
        <v>40</v>
      </c>
      <c r="I16">
        <v>0.27464845111407699</v>
      </c>
      <c r="J16">
        <v>12</v>
      </c>
      <c r="K16">
        <v>9.4882500570385577</v>
      </c>
    </row>
    <row r="17" spans="1:11" x14ac:dyDescent="0.35">
      <c r="A17" t="str">
        <f>NFFT_M6[[#This Row],[country]]&amp; " "&amp;NFFT_M6[[#This Row],[cluster]]</f>
        <v>Canada 2</v>
      </c>
      <c r="B17" t="s">
        <v>8</v>
      </c>
      <c r="C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 t="str">
        <f>NFFT_M6[[#This Row],[country]]&amp; " "&amp;NFFT_M6[[#This Row],[cluster]]</f>
        <v>Canada 3</v>
      </c>
      <c r="B18" t="s">
        <v>8</v>
      </c>
      <c r="C18">
        <v>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 t="str">
        <f>NFFT_M6[[#This Row],[country]]&amp; " "&amp;NFFT_M6[[#This Row],[cluster]]</f>
        <v>Guatemala 1</v>
      </c>
      <c r="B19" t="s">
        <v>9</v>
      </c>
      <c r="C19">
        <v>1</v>
      </c>
      <c r="D19">
        <v>2.78</v>
      </c>
      <c r="E19">
        <v>911.30612244897964</v>
      </c>
      <c r="F19">
        <v>50</v>
      </c>
      <c r="G19">
        <v>44654</v>
      </c>
      <c r="H19">
        <v>44</v>
      </c>
      <c r="I19">
        <v>0.33498756647716155</v>
      </c>
      <c r="J19">
        <v>11</v>
      </c>
      <c r="K19">
        <v>11.114180822599714</v>
      </c>
    </row>
    <row r="20" spans="1:11" x14ac:dyDescent="0.35">
      <c r="A20" t="str">
        <f>NFFT_M6[[#This Row],[country]]&amp; " "&amp;NFFT_M6[[#This Row],[cluster]]</f>
        <v>Guatemala 2</v>
      </c>
      <c r="B20" t="s">
        <v>9</v>
      </c>
      <c r="C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 t="str">
        <f>NFFT_M6[[#This Row],[country]]&amp; " "&amp;NFFT_M6[[#This Row],[cluster]]</f>
        <v>Russia 1</v>
      </c>
      <c r="B21" t="s">
        <v>10</v>
      </c>
      <c r="C21">
        <v>1</v>
      </c>
      <c r="D21">
        <v>1.905</v>
      </c>
      <c r="E21">
        <v>315.3862068965517</v>
      </c>
      <c r="F21">
        <v>146</v>
      </c>
      <c r="G21">
        <v>45731</v>
      </c>
      <c r="H21">
        <v>65.753424657534239</v>
      </c>
      <c r="I21">
        <v>0.1360887882238869</v>
      </c>
      <c r="J21">
        <v>48</v>
      </c>
      <c r="K21">
        <v>2.6084302988820443</v>
      </c>
    </row>
    <row r="22" spans="1:11" x14ac:dyDescent="0.35">
      <c r="A22" t="str">
        <f>NFFT_M6[[#This Row],[country]]&amp; " "&amp;NFFT_M6[[#This Row],[cluster]]</f>
        <v>Russia 2</v>
      </c>
      <c r="B22" t="s">
        <v>10</v>
      </c>
      <c r="C22">
        <v>2</v>
      </c>
      <c r="E22">
        <v>3790.1666666666665</v>
      </c>
      <c r="F22">
        <v>13</v>
      </c>
      <c r="G22">
        <v>45482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 t="str">
        <f>NFFT_M6[[#This Row],[country]]&amp; " "&amp;NFFT_M6[[#This Row],[cluster]]</f>
        <v>Russia 3</v>
      </c>
      <c r="B23" t="s">
        <v>10</v>
      </c>
      <c r="C23">
        <v>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 t="str">
        <f>NFFT_M6[[#This Row],[country]]&amp; " "&amp;NFFT_M6[[#This Row],[cluster]]</f>
        <v>China 1</v>
      </c>
      <c r="B24" t="s">
        <v>11</v>
      </c>
      <c r="C24">
        <v>1</v>
      </c>
      <c r="D24">
        <v>6.6829999999999998</v>
      </c>
      <c r="E24">
        <v>1031.3488372093022</v>
      </c>
      <c r="F24">
        <v>44</v>
      </c>
      <c r="G24">
        <v>44348</v>
      </c>
      <c r="H24">
        <v>18.181818181818183</v>
      </c>
      <c r="I24">
        <v>0.50129045262950656</v>
      </c>
      <c r="J24">
        <v>4</v>
      </c>
      <c r="K24">
        <v>30.354551676933607</v>
      </c>
    </row>
    <row r="25" spans="1:11" x14ac:dyDescent="0.35">
      <c r="A25" t="str">
        <f>NFFT_M6[[#This Row],[country]]&amp; " "&amp;NFFT_M6[[#This Row],[cluster]]</f>
        <v>China 2</v>
      </c>
      <c r="B25" t="s">
        <v>11</v>
      </c>
      <c r="C25">
        <v>2</v>
      </c>
      <c r="D25">
        <v>3.681</v>
      </c>
      <c r="E25">
        <v>2742</v>
      </c>
      <c r="F25">
        <v>15</v>
      </c>
      <c r="G25">
        <v>38388</v>
      </c>
      <c r="H25">
        <v>28.571428571428569</v>
      </c>
      <c r="I25">
        <v>1.2335119161193846</v>
      </c>
      <c r="J25">
        <v>2</v>
      </c>
      <c r="K25">
        <v>52.550308008213555</v>
      </c>
    </row>
    <row r="26" spans="1:11" x14ac:dyDescent="0.35">
      <c r="A26" t="str">
        <f>NFFT_M6[[#This Row],[country]]&amp; " "&amp;NFFT_M6[[#This Row],[cluster]]</f>
        <v>China 3</v>
      </c>
      <c r="B26" t="s">
        <v>11</v>
      </c>
      <c r="C26">
        <v>3</v>
      </c>
      <c r="E26">
        <v>2342</v>
      </c>
      <c r="F26">
        <v>16</v>
      </c>
      <c r="G26">
        <v>35130</v>
      </c>
      <c r="H26">
        <v>0</v>
      </c>
      <c r="I26">
        <v>0</v>
      </c>
      <c r="J26">
        <v>0</v>
      </c>
      <c r="K26">
        <v>0</v>
      </c>
    </row>
    <row r="27" spans="1:11" x14ac:dyDescent="0.35">
      <c r="A27" t="str">
        <f>NFFT_M6[[#This Row],[country]]&amp; " "&amp;NFFT_M6[[#This Row],[cluster]]</f>
        <v>India 1</v>
      </c>
      <c r="B27" t="s">
        <v>12</v>
      </c>
      <c r="C27">
        <v>1</v>
      </c>
      <c r="D27">
        <v>4.6059999999999999</v>
      </c>
      <c r="E27">
        <v>976.21951219512198</v>
      </c>
      <c r="F27">
        <v>42</v>
      </c>
      <c r="G27">
        <v>40025</v>
      </c>
      <c r="H27">
        <v>23.809523809523807</v>
      </c>
      <c r="I27">
        <v>0.73162698611925236</v>
      </c>
      <c r="J27">
        <v>5</v>
      </c>
      <c r="K27">
        <v>21.916495550992472</v>
      </c>
    </row>
    <row r="28" spans="1:11" x14ac:dyDescent="0.35">
      <c r="A28" t="str">
        <f>NFFT_M6[[#This Row],[country]]&amp; " "&amp;NFFT_M6[[#This Row],[cluster]]</f>
        <v>India 2</v>
      </c>
      <c r="B28" t="s">
        <v>12</v>
      </c>
      <c r="C28">
        <v>2</v>
      </c>
      <c r="D28">
        <v>4.5890000000000004</v>
      </c>
      <c r="E28">
        <v>1308.71875</v>
      </c>
      <c r="F28">
        <v>33</v>
      </c>
      <c r="G28">
        <v>41879</v>
      </c>
      <c r="H28">
        <v>25</v>
      </c>
      <c r="I28">
        <v>1.3609531736275005</v>
      </c>
      <c r="J28">
        <v>4</v>
      </c>
      <c r="K28">
        <v>28.664613278576319</v>
      </c>
    </row>
    <row r="29" spans="1:11" x14ac:dyDescent="0.35">
      <c r="A29" t="str">
        <f>NFFT_M6[[#This Row],[country]]&amp; " "&amp;NFFT_M6[[#This Row],[cluster]]</f>
        <v>India 3</v>
      </c>
      <c r="B29" t="s">
        <v>12</v>
      </c>
      <c r="C29">
        <v>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35">
      <c r="A30" t="str">
        <f>NFFT_M6[[#This Row],[country]]&amp; " "&amp;NFFT_M6[[#This Row],[cluster]]</f>
        <v>Iran 1</v>
      </c>
      <c r="B30" t="s">
        <v>13</v>
      </c>
      <c r="C30">
        <v>1</v>
      </c>
      <c r="D30">
        <v>4.4669999999999996</v>
      </c>
      <c r="E30">
        <v>1129.1315789473683</v>
      </c>
      <c r="F30">
        <v>39</v>
      </c>
      <c r="G30">
        <v>42907</v>
      </c>
      <c r="H30">
        <v>26.315789473684209</v>
      </c>
      <c r="I30">
        <v>0.37499573866851527</v>
      </c>
      <c r="J30">
        <v>5</v>
      </c>
      <c r="K30">
        <v>23.494592744695414</v>
      </c>
    </row>
    <row r="31" spans="1:11" x14ac:dyDescent="0.35">
      <c r="A31" t="str">
        <f>NFFT_M6[[#This Row],[country]]&amp; " "&amp;NFFT_M6[[#This Row],[cluster]]</f>
        <v>Iran 2</v>
      </c>
      <c r="B31" t="s">
        <v>13</v>
      </c>
      <c r="C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35">
      <c r="A32" t="str">
        <f>NFFT_M6[[#This Row],[country]]&amp; " "&amp;NFFT_M6[[#This Row],[cluster]]</f>
        <v>Iran 3</v>
      </c>
      <c r="B32" t="s">
        <v>13</v>
      </c>
      <c r="C32">
        <v>3</v>
      </c>
      <c r="E32">
        <v>4327.1111111111113</v>
      </c>
      <c r="F32">
        <v>10</v>
      </c>
      <c r="G32">
        <v>38944</v>
      </c>
      <c r="H32">
        <v>0</v>
      </c>
      <c r="I32">
        <v>0</v>
      </c>
      <c r="J32">
        <v>0</v>
      </c>
      <c r="K32">
        <v>0</v>
      </c>
    </row>
    <row r="33" spans="1:11" x14ac:dyDescent="0.35">
      <c r="A33" t="str">
        <f>NFFT_M6[[#This Row],[country]]&amp; " "&amp;NFFT_M6[[#This Row],[cluster]]</f>
        <v>Nicaragua 1</v>
      </c>
      <c r="B33" t="s">
        <v>14</v>
      </c>
      <c r="C33">
        <v>1</v>
      </c>
      <c r="D33">
        <v>2.0910000000000002</v>
      </c>
      <c r="E33">
        <v>846.63461538461536</v>
      </c>
      <c r="F33">
        <v>53</v>
      </c>
      <c r="G33">
        <v>44025</v>
      </c>
      <c r="H33">
        <v>57.692307692307686</v>
      </c>
      <c r="I33">
        <v>0.28976013794579525</v>
      </c>
      <c r="J33">
        <v>15</v>
      </c>
      <c r="K33">
        <v>8.0355920602327178</v>
      </c>
    </row>
    <row r="34" spans="1:11" x14ac:dyDescent="0.35">
      <c r="A34" t="str">
        <f>NFFT_M6[[#This Row],[country]]&amp; " "&amp;NFFT_M6[[#This Row],[cluster]]</f>
        <v>El Salvador 1</v>
      </c>
      <c r="B34" t="s">
        <v>15</v>
      </c>
      <c r="C34">
        <v>1</v>
      </c>
      <c r="D34">
        <v>5.3070000000000004</v>
      </c>
      <c r="E34">
        <v>1340.5294117647059</v>
      </c>
      <c r="F34">
        <v>35</v>
      </c>
      <c r="G34">
        <v>45578</v>
      </c>
      <c r="H34">
        <v>23.52941176470588</v>
      </c>
      <c r="I34">
        <v>0.79886414449856535</v>
      </c>
      <c r="J34">
        <v>4</v>
      </c>
      <c r="K34">
        <v>31.196440793976727</v>
      </c>
    </row>
    <row r="35" spans="1:11" x14ac:dyDescent="0.35">
      <c r="A35" t="str">
        <f>NFFT_M6[[#This Row],[country]]&amp; " "&amp;NFFT_M6[[#This Row],[cluster]]</f>
        <v>Costa Rica 1</v>
      </c>
      <c r="B35" t="s">
        <v>16</v>
      </c>
      <c r="C35">
        <v>1</v>
      </c>
      <c r="D35">
        <v>4.5609999999999999</v>
      </c>
      <c r="E35">
        <v>1031.909090909091</v>
      </c>
      <c r="F35">
        <v>45</v>
      </c>
      <c r="G35">
        <v>45404</v>
      </c>
      <c r="H35">
        <v>27.27272727272727</v>
      </c>
      <c r="I35">
        <v>0.46393668629784091</v>
      </c>
      <c r="J35">
        <v>6</v>
      </c>
      <c r="K35">
        <v>20.718229523157653</v>
      </c>
    </row>
    <row r="36" spans="1:11" x14ac:dyDescent="0.35">
      <c r="A36" t="str">
        <f>NFFT_M6[[#This Row],[country]]&amp; " "&amp;NFFT_M6[[#This Row],[cluster]]</f>
        <v>Dominican 1</v>
      </c>
      <c r="B36" t="s">
        <v>17</v>
      </c>
      <c r="C36">
        <v>1</v>
      </c>
      <c r="E36">
        <v>1557.7619047619048</v>
      </c>
      <c r="F36">
        <v>22</v>
      </c>
      <c r="G36">
        <v>32713</v>
      </c>
      <c r="H36">
        <v>0</v>
      </c>
      <c r="I36">
        <v>0</v>
      </c>
      <c r="J36">
        <v>0</v>
      </c>
      <c r="K36">
        <v>0</v>
      </c>
    </row>
    <row r="37" spans="1:11" x14ac:dyDescent="0.35">
      <c r="A37" t="str">
        <f>NFFT_M6[[#This Row],[country]]&amp; " "&amp;NFFT_M6[[#This Row],[cluster]]</f>
        <v>Chile 1</v>
      </c>
      <c r="B37" t="s">
        <v>18</v>
      </c>
      <c r="C37">
        <v>1</v>
      </c>
      <c r="D37">
        <v>2.9830000000000001</v>
      </c>
      <c r="E37">
        <v>365.79508196721309</v>
      </c>
      <c r="F37">
        <v>123</v>
      </c>
      <c r="G37">
        <v>44627</v>
      </c>
      <c r="H37">
        <v>40.983606557377051</v>
      </c>
      <c r="I37">
        <v>0.17648094060712216</v>
      </c>
      <c r="J37">
        <v>25</v>
      </c>
      <c r="K37">
        <v>4.8872826830937708</v>
      </c>
    </row>
    <row r="38" spans="1:11" x14ac:dyDescent="0.35">
      <c r="A38" t="str">
        <f>NFFT_M6[[#This Row],[country]]&amp; " "&amp;NFFT_M6[[#This Row],[cluster]]</f>
        <v>Chile 2</v>
      </c>
      <c r="B38" t="s">
        <v>18</v>
      </c>
      <c r="C38">
        <v>2</v>
      </c>
      <c r="E38">
        <v>882.81081081081084</v>
      </c>
      <c r="F38">
        <v>38</v>
      </c>
      <c r="G38">
        <v>32664</v>
      </c>
      <c r="H38">
        <v>0</v>
      </c>
      <c r="I38">
        <v>0</v>
      </c>
      <c r="J38">
        <v>0</v>
      </c>
      <c r="K38">
        <v>0</v>
      </c>
    </row>
    <row r="39" spans="1:11" x14ac:dyDescent="0.35">
      <c r="A39" t="str">
        <f>NFFT_M6[[#This Row],[country]]&amp; " "&amp;NFFT_M6[[#This Row],[cluster]]</f>
        <v>Chile 3</v>
      </c>
      <c r="B39" t="s">
        <v>18</v>
      </c>
      <c r="C39">
        <v>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35">
      <c r="A40" t="str">
        <f>NFFT_M6[[#This Row],[country]]&amp; " "&amp;NFFT_M6[[#This Row],[cluster]]</f>
        <v>Argentina 1</v>
      </c>
      <c r="B40" t="s">
        <v>19</v>
      </c>
      <c r="C40">
        <v>1</v>
      </c>
      <c r="D40">
        <v>5.7309999999999999</v>
      </c>
      <c r="E40">
        <v>1728.8636363636363</v>
      </c>
      <c r="F40">
        <v>23</v>
      </c>
      <c r="G40">
        <v>38035</v>
      </c>
      <c r="H40">
        <v>18.181818181818183</v>
      </c>
      <c r="I40">
        <v>0.90081161932673759</v>
      </c>
      <c r="J40">
        <v>2</v>
      </c>
      <c r="K40">
        <v>52.067077344284733</v>
      </c>
    </row>
    <row r="41" spans="1:11" x14ac:dyDescent="0.35">
      <c r="A41" t="str">
        <f>NFFT_M6[[#This Row],[country]]&amp; " "&amp;NFFT_M6[[#This Row],[cluster]]</f>
        <v>Argentina 2</v>
      </c>
      <c r="B41" t="s">
        <v>19</v>
      </c>
      <c r="C41">
        <v>2</v>
      </c>
      <c r="D41">
        <v>0.97799999999999998</v>
      </c>
      <c r="E41">
        <v>768.96</v>
      </c>
      <c r="F41">
        <v>26</v>
      </c>
      <c r="G41">
        <v>19224</v>
      </c>
      <c r="H41">
        <v>53.846153846153847</v>
      </c>
      <c r="I41">
        <v>0.63620415646714501</v>
      </c>
      <c r="J41">
        <v>7</v>
      </c>
      <c r="K41">
        <v>7.518920504546788</v>
      </c>
    </row>
    <row r="42" spans="1:11" x14ac:dyDescent="0.35">
      <c r="A42" t="str">
        <f>NFFT_M6[[#This Row],[country]]&amp; " "&amp;NFFT_M6[[#This Row],[cluster]]</f>
        <v>Argentina 3</v>
      </c>
      <c r="B42" t="s">
        <v>19</v>
      </c>
      <c r="C42">
        <v>3</v>
      </c>
      <c r="D42">
        <v>4.4290000000000003</v>
      </c>
      <c r="E42">
        <v>1684.0833333333333</v>
      </c>
      <c r="F42">
        <v>25</v>
      </c>
      <c r="G42">
        <v>40418</v>
      </c>
      <c r="H42">
        <v>25</v>
      </c>
      <c r="I42">
        <v>0.44938965114581558</v>
      </c>
      <c r="J42">
        <v>3</v>
      </c>
      <c r="K42">
        <v>36.886151038101758</v>
      </c>
    </row>
    <row r="43" spans="1:11" x14ac:dyDescent="0.35">
      <c r="A43" t="str">
        <f>NFFT_M6[[#This Row],[country]]&amp; " "&amp;NFFT_M6[[#This Row],[cluster]]</f>
        <v>Peru 1</v>
      </c>
      <c r="B43" t="s">
        <v>20</v>
      </c>
      <c r="C43">
        <v>1</v>
      </c>
      <c r="D43">
        <v>2.4950000000000001</v>
      </c>
      <c r="E43">
        <v>473.43478260869563</v>
      </c>
      <c r="F43">
        <v>93</v>
      </c>
      <c r="G43">
        <v>43556</v>
      </c>
      <c r="H43">
        <v>47.826086956521742</v>
      </c>
      <c r="I43">
        <v>0.19080594254211508</v>
      </c>
      <c r="J43">
        <v>22</v>
      </c>
      <c r="K43">
        <v>5.4204467674693548</v>
      </c>
    </row>
    <row r="44" spans="1:11" x14ac:dyDescent="0.35">
      <c r="A44" t="str">
        <f>NFFT_M6[[#This Row],[country]]&amp; " "&amp;NFFT_M6[[#This Row],[cluster]]</f>
        <v>Colombia 1</v>
      </c>
      <c r="B44" t="s">
        <v>21</v>
      </c>
      <c r="C44">
        <v>1</v>
      </c>
      <c r="D44">
        <v>2.7970000000000002</v>
      </c>
      <c r="E44">
        <v>1020.85</v>
      </c>
      <c r="F44">
        <v>41</v>
      </c>
      <c r="G44">
        <v>40834</v>
      </c>
      <c r="H44">
        <v>40</v>
      </c>
      <c r="I44">
        <v>0.203084519702209</v>
      </c>
      <c r="J44">
        <v>8</v>
      </c>
      <c r="K44">
        <v>13.974674880219029</v>
      </c>
    </row>
    <row r="45" spans="1:11" x14ac:dyDescent="0.35">
      <c r="A45" t="str">
        <f>NFFT_M6[[#This Row],[country]]&amp; " "&amp;NFFT_M6[[#This Row],[cluster]]</f>
        <v>Colombia 2</v>
      </c>
      <c r="B45" t="s">
        <v>21</v>
      </c>
      <c r="C45">
        <v>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35">
      <c r="A46" t="str">
        <f>NFFT_M6[[#This Row],[country]]&amp; " "&amp;NFFT_M6[[#This Row],[cluster]]</f>
        <v>Indonesia 1</v>
      </c>
      <c r="B46" t="s">
        <v>22</v>
      </c>
      <c r="C46">
        <v>1</v>
      </c>
      <c r="D46">
        <v>1.4910000000000001</v>
      </c>
      <c r="E46">
        <v>322.42657342657344</v>
      </c>
      <c r="F46">
        <v>144</v>
      </c>
      <c r="G46">
        <v>46107</v>
      </c>
      <c r="H46">
        <v>84.722222222222214</v>
      </c>
      <c r="I46">
        <v>0.12504851224200905</v>
      </c>
      <c r="J46">
        <v>61</v>
      </c>
      <c r="K46">
        <v>2.0694112498737671</v>
      </c>
    </row>
    <row r="47" spans="1:11" x14ac:dyDescent="0.35">
      <c r="A47" t="str">
        <f>NFFT_M6[[#This Row],[country]]&amp; " "&amp;NFFT_M6[[#This Row],[cluster]]</f>
        <v>Indonesia 2</v>
      </c>
      <c r="B47" t="s">
        <v>22</v>
      </c>
      <c r="C47">
        <v>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35">
      <c r="A48" t="str">
        <f>NFFT_M6[[#This Row],[country]]&amp; " "&amp;NFFT_M6[[#This Row],[cluster]]</f>
        <v>Indonesia 3</v>
      </c>
      <c r="B48" t="s">
        <v>22</v>
      </c>
      <c r="C48">
        <v>3</v>
      </c>
      <c r="E48">
        <v>2313.1111111111113</v>
      </c>
      <c r="F48">
        <v>10</v>
      </c>
      <c r="G48">
        <v>20818</v>
      </c>
      <c r="H48">
        <v>0</v>
      </c>
      <c r="I48">
        <v>0</v>
      </c>
      <c r="J48">
        <v>0</v>
      </c>
      <c r="K48">
        <v>0</v>
      </c>
    </row>
    <row r="49" spans="1:11" x14ac:dyDescent="0.35">
      <c r="A49" t="str">
        <f>NFFT_M6[[#This Row],[country]]&amp; " "&amp;NFFT_M6[[#This Row],[cluster]]</f>
        <v>Timor Leste 1</v>
      </c>
      <c r="B49" t="s">
        <v>23</v>
      </c>
      <c r="C49">
        <v>1</v>
      </c>
      <c r="D49">
        <v>2.746</v>
      </c>
      <c r="E49">
        <v>685.265625</v>
      </c>
      <c r="F49">
        <v>65</v>
      </c>
      <c r="G49">
        <v>43857</v>
      </c>
      <c r="H49">
        <v>43.75</v>
      </c>
      <c r="I49">
        <v>0.23193102923260742</v>
      </c>
      <c r="J49">
        <v>14</v>
      </c>
      <c r="K49">
        <v>8.5767087122323264</v>
      </c>
    </row>
    <row r="50" spans="1:11" x14ac:dyDescent="0.35">
      <c r="A50" t="str">
        <f>NFFT_M6[[#This Row],[country]]&amp; " "&amp;NFFT_M6[[#This Row],[cluster]]</f>
        <v>Australia 1</v>
      </c>
      <c r="B50" t="s">
        <v>24</v>
      </c>
      <c r="C50">
        <v>1</v>
      </c>
      <c r="D50">
        <v>1.698</v>
      </c>
      <c r="E50">
        <v>851.51162790697674</v>
      </c>
      <c r="F50">
        <v>44</v>
      </c>
      <c r="G50">
        <v>36615</v>
      </c>
      <c r="H50">
        <v>59.090909090909093</v>
      </c>
      <c r="I50">
        <v>0.28031966084151216</v>
      </c>
      <c r="J50">
        <v>13</v>
      </c>
      <c r="K50">
        <v>7.7112620439109145</v>
      </c>
    </row>
    <row r="51" spans="1:11" x14ac:dyDescent="0.35">
      <c r="A51" t="str">
        <f>NFFT_M6[[#This Row],[country]]&amp; " "&amp;NFFT_M6[[#This Row],[cluster]]</f>
        <v>Australia 2</v>
      </c>
      <c r="B51" t="s">
        <v>24</v>
      </c>
      <c r="C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35">
      <c r="A52" t="str">
        <f>NFFT_M6[[#This Row],[country]]&amp; " "&amp;NFFT_M6[[#This Row],[cluster]]</f>
        <v>Australia 3</v>
      </c>
      <c r="B52" t="s">
        <v>24</v>
      </c>
      <c r="C52">
        <v>3</v>
      </c>
      <c r="D52">
        <v>4.4260000000000002</v>
      </c>
      <c r="E52">
        <v>1615.5</v>
      </c>
      <c r="F52">
        <v>21</v>
      </c>
      <c r="G52">
        <v>32310</v>
      </c>
      <c r="H52">
        <v>20</v>
      </c>
      <c r="I52">
        <v>0.98541247774517904</v>
      </c>
      <c r="J52">
        <v>2</v>
      </c>
      <c r="K52">
        <v>44.229979466119097</v>
      </c>
    </row>
    <row r="53" spans="1:11" x14ac:dyDescent="0.35">
      <c r="A53" t="str">
        <f>NFFT_M6[[#This Row],[country]]&amp; " "&amp;NFFT_M6[[#This Row],[cluster]]</f>
        <v>New Zealand 1</v>
      </c>
      <c r="B53" t="s">
        <v>25</v>
      </c>
      <c r="C53">
        <v>1</v>
      </c>
      <c r="D53">
        <v>1.587</v>
      </c>
      <c r="E53">
        <v>360.88888888888891</v>
      </c>
      <c r="F53">
        <v>118</v>
      </c>
      <c r="G53">
        <v>42224</v>
      </c>
      <c r="H53">
        <v>72.881355932203391</v>
      </c>
      <c r="I53">
        <v>0.12675598239014343</v>
      </c>
      <c r="J53">
        <v>43</v>
      </c>
      <c r="K53">
        <v>2.6884421310666475</v>
      </c>
    </row>
    <row r="54" spans="1:11" x14ac:dyDescent="0.35">
      <c r="A54" t="str">
        <f>NFFT_M6[[#This Row],[country]]&amp; " "&amp;NFFT_M6[[#This Row],[cluster]]</f>
        <v>New Zealand 2</v>
      </c>
      <c r="B54" t="s">
        <v>25</v>
      </c>
      <c r="C54">
        <v>2</v>
      </c>
      <c r="D54">
        <v>5.1150000000000002</v>
      </c>
      <c r="E54">
        <v>1062.1891891891892</v>
      </c>
      <c r="F54">
        <v>38</v>
      </c>
      <c r="G54">
        <v>39301</v>
      </c>
      <c r="H54">
        <v>21.052631578947366</v>
      </c>
      <c r="I54">
        <v>0.6294043401472722</v>
      </c>
      <c r="J54">
        <v>4</v>
      </c>
      <c r="K54">
        <v>26.900068446269678</v>
      </c>
    </row>
    <row r="55" spans="1:11" x14ac:dyDescent="0.35">
      <c r="A55" t="str">
        <f>NFFT_M6[[#This Row],[country]]&amp; " "&amp;NFFT_M6[[#This Row],[cluster]]</f>
        <v>Algeria 1</v>
      </c>
      <c r="B55" t="s">
        <v>26</v>
      </c>
      <c r="C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35">
      <c r="A56" t="str">
        <f>NFFT_M6[[#This Row],[country]]&amp; " "&amp;NFFT_M6[[#This Row],[cluster]]</f>
        <v>Algeria 2</v>
      </c>
      <c r="B56" t="s">
        <v>26</v>
      </c>
      <c r="C56">
        <v>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35">
      <c r="A57" t="str">
        <f>NFFT_M6[[#This Row],[country]]&amp; " "&amp;NFFT_M6[[#This Row],[cluster]]</f>
        <v>Somalia 1</v>
      </c>
      <c r="B57" t="s">
        <v>27</v>
      </c>
      <c r="C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35">
      <c r="A58" t="str">
        <f>NFFT_M6[[#This Row],[country]]&amp; " "&amp;NFFT_M6[[#This Row],[cluster]]</f>
        <v>Somalia 2</v>
      </c>
      <c r="B58" t="s">
        <v>27</v>
      </c>
      <c r="C58">
        <v>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35">
      <c r="A59" t="str">
        <f>NFFT_M6[[#This Row],[country]]&amp; " "&amp;NFFT_M6[[#This Row],[cluster]]</f>
        <v>South Africa 1</v>
      </c>
      <c r="B59" t="s">
        <v>28</v>
      </c>
      <c r="C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35">
      <c r="A60" t="str">
        <f>NFFT_M6[[#This Row],[country]]&amp; " "&amp;NFFT_M6[[#This Row],[cluster]]</f>
        <v>South Africa 2</v>
      </c>
      <c r="B60" t="s">
        <v>28</v>
      </c>
      <c r="C60">
        <v>2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35">
      <c r="A61" t="str">
        <f>NFFT_M6[[#This Row],[country]]&amp; " "&amp;NFFT_M6[[#This Row],[cluster]]</f>
        <v>South Africa 3</v>
      </c>
      <c r="B61" t="s">
        <v>28</v>
      </c>
      <c r="C61">
        <v>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35">
      <c r="A62" t="str">
        <f>NFFT_M6[[#This Row],[country]]&amp; " "&amp;NFFT_M6[[#This Row],[cluster]]</f>
        <v>Saint Helena 1</v>
      </c>
      <c r="B62" t="s">
        <v>29</v>
      </c>
      <c r="C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9AA75-91F2-45FB-8508-688734A2CA28}">
  <dimension ref="A1:K47"/>
  <sheetViews>
    <sheetView workbookViewId="0">
      <selection activeCell="A2" sqref="A2"/>
    </sheetView>
  </sheetViews>
  <sheetFormatPr defaultRowHeight="14.5" x14ac:dyDescent="0.35"/>
  <cols>
    <col min="2" max="2" width="16.6328125" bestFit="1" customWidth="1"/>
    <col min="4" max="4" width="17.26953125" bestFit="1" customWidth="1"/>
    <col min="5" max="5" width="11.81640625" bestFit="1" customWidth="1"/>
    <col min="6" max="6" width="18.08984375" bestFit="1" customWidth="1"/>
    <col min="7" max="7" width="18.90625" bestFit="1" customWidth="1"/>
    <col min="8" max="8" width="11.81640625" bestFit="1" customWidth="1"/>
    <col min="9" max="9" width="18.81640625" bestFit="1" customWidth="1"/>
    <col min="10" max="10" width="18.6328125" bestFit="1" customWidth="1"/>
    <col min="11" max="11" width="29.26953125" bestFit="1" customWidth="1"/>
  </cols>
  <sheetData>
    <row r="1" spans="1:11" x14ac:dyDescent="0.35">
      <c r="B1" t="s">
        <v>0</v>
      </c>
      <c r="C1" t="s">
        <v>30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 x14ac:dyDescent="0.35">
      <c r="A2" t="str">
        <f>NFFT_M7[[#This Row],[country]]&amp; " "&amp;NFFT_M7[[#This Row],[cluster]]</f>
        <v>Japan 1</v>
      </c>
      <c r="B2" t="s">
        <v>2</v>
      </c>
      <c r="C2">
        <v>1</v>
      </c>
      <c r="D2">
        <v>2.5870000000000002</v>
      </c>
      <c r="E2">
        <v>655.24285714285713</v>
      </c>
      <c r="F2">
        <v>71</v>
      </c>
      <c r="G2">
        <v>45867</v>
      </c>
      <c r="H2">
        <v>48.571428571428569</v>
      </c>
      <c r="I2">
        <v>0.30550783187005909</v>
      </c>
      <c r="J2">
        <v>17</v>
      </c>
      <c r="K2">
        <v>7.3868824737287113</v>
      </c>
    </row>
    <row r="3" spans="1:11" x14ac:dyDescent="0.35">
      <c r="A3" t="str">
        <f>NFFT_M7[[#This Row],[country]]&amp; " "&amp;NFFT_M7[[#This Row],[cluster]]</f>
        <v>Japan 2</v>
      </c>
      <c r="B3" t="s">
        <v>2</v>
      </c>
      <c r="C3">
        <v>2</v>
      </c>
      <c r="E3">
        <v>2044.1363636363637</v>
      </c>
      <c r="F3">
        <v>23</v>
      </c>
      <c r="G3">
        <v>44971</v>
      </c>
      <c r="H3">
        <v>0</v>
      </c>
      <c r="I3">
        <v>0</v>
      </c>
      <c r="J3">
        <v>0</v>
      </c>
      <c r="K3">
        <v>0</v>
      </c>
    </row>
    <row r="4" spans="1:11" x14ac:dyDescent="0.35">
      <c r="A4" t="str">
        <f>NFFT_M7[[#This Row],[country]]&amp; " "&amp;NFFT_M7[[#This Row],[cluster]]</f>
        <v>Papua New Guinea 1</v>
      </c>
      <c r="B4" t="s">
        <v>3</v>
      </c>
      <c r="C4">
        <v>1</v>
      </c>
      <c r="D4">
        <v>2.7949999999999999</v>
      </c>
      <c r="E4">
        <v>661.85294117647061</v>
      </c>
      <c r="F4">
        <v>69</v>
      </c>
      <c r="G4">
        <v>45006</v>
      </c>
      <c r="H4">
        <v>44.117647058823529</v>
      </c>
      <c r="I4">
        <v>0.2416013618810017</v>
      </c>
      <c r="J4">
        <v>15</v>
      </c>
      <c r="K4">
        <v>8.2146475017111573</v>
      </c>
    </row>
    <row r="5" spans="1:11" x14ac:dyDescent="0.35">
      <c r="A5" t="str">
        <f>NFFT_M7[[#This Row],[country]]&amp; " "&amp;NFFT_M7[[#This Row],[cluster]]</f>
        <v>Philippines 1</v>
      </c>
      <c r="B5" t="s">
        <v>4</v>
      </c>
      <c r="C5">
        <v>1</v>
      </c>
      <c r="D5">
        <v>2.4910000000000001</v>
      </c>
      <c r="E5">
        <v>721.68253968253964</v>
      </c>
      <c r="F5">
        <v>64</v>
      </c>
      <c r="G5">
        <v>45466</v>
      </c>
      <c r="H5">
        <v>50</v>
      </c>
      <c r="I5">
        <v>0.25550570137886769</v>
      </c>
      <c r="J5">
        <v>16</v>
      </c>
      <c r="K5">
        <v>7.7799452429842573</v>
      </c>
    </row>
    <row r="6" spans="1:11" x14ac:dyDescent="0.35">
      <c r="A6" t="str">
        <f>NFFT_M7[[#This Row],[country]]&amp; " "&amp;NFFT_M7[[#This Row],[cluster]]</f>
        <v>Tonga 1</v>
      </c>
      <c r="B6" t="s">
        <v>5</v>
      </c>
      <c r="C6">
        <v>1</v>
      </c>
      <c r="D6">
        <v>4.1920000000000002</v>
      </c>
      <c r="E6">
        <v>1363.7878787878788</v>
      </c>
      <c r="F6">
        <v>34</v>
      </c>
      <c r="G6">
        <v>45005</v>
      </c>
      <c r="H6">
        <v>29.411764705882355</v>
      </c>
      <c r="I6">
        <v>1.7315034605350468</v>
      </c>
      <c r="J6">
        <v>5</v>
      </c>
      <c r="K6">
        <v>24.643394934976044</v>
      </c>
    </row>
    <row r="7" spans="1:11" x14ac:dyDescent="0.35">
      <c r="A7" t="str">
        <f>NFFT_M7[[#This Row],[country]]&amp; " "&amp;NFFT_M7[[#This Row],[cluster]]</f>
        <v>USA 1</v>
      </c>
      <c r="B7" t="s">
        <v>6</v>
      </c>
      <c r="C7">
        <v>1</v>
      </c>
      <c r="D7">
        <v>5.9930000000000003</v>
      </c>
      <c r="E7">
        <v>969.59574468085111</v>
      </c>
      <c r="F7">
        <v>48</v>
      </c>
      <c r="G7">
        <v>45571</v>
      </c>
      <c r="H7">
        <v>20.833333333333336</v>
      </c>
      <c r="I7">
        <v>1.4382795878584518</v>
      </c>
      <c r="J7">
        <v>5</v>
      </c>
      <c r="K7">
        <v>24.9533196440794</v>
      </c>
    </row>
    <row r="8" spans="1:11" x14ac:dyDescent="0.35">
      <c r="A8" t="str">
        <f>NFFT_M7[[#This Row],[country]]&amp; " "&amp;NFFT_M7[[#This Row],[cluster]]</f>
        <v>USA 2</v>
      </c>
      <c r="B8" t="s">
        <v>6</v>
      </c>
      <c r="C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tr">
        <f>NFFT_M7[[#This Row],[country]]&amp; " "&amp;NFFT_M7[[#This Row],[cluster]]</f>
        <v>USA 3</v>
      </c>
      <c r="B9" t="s">
        <v>6</v>
      </c>
      <c r="C9">
        <v>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tr">
        <f>NFFT_M7[[#This Row],[country]]&amp; " "&amp;NFFT_M7[[#This Row],[cluster]]</f>
        <v>Mexico 1</v>
      </c>
      <c r="B10" t="s">
        <v>7</v>
      </c>
      <c r="C10">
        <v>1</v>
      </c>
      <c r="D10">
        <v>8.5920000000000005</v>
      </c>
      <c r="E10">
        <v>1066.7142857142858</v>
      </c>
      <c r="F10">
        <v>43</v>
      </c>
      <c r="G10">
        <v>44802</v>
      </c>
      <c r="H10">
        <v>14.285714285714285</v>
      </c>
      <c r="I10">
        <v>1.6359607635482762</v>
      </c>
      <c r="J10">
        <v>3</v>
      </c>
      <c r="K10">
        <v>40.887063655030801</v>
      </c>
    </row>
    <row r="11" spans="1:11" x14ac:dyDescent="0.35">
      <c r="A11" t="str">
        <f>NFFT_M7[[#This Row],[country]]&amp; " "&amp;NFFT_M7[[#This Row],[cluster]]</f>
        <v>Mexico 2</v>
      </c>
      <c r="B11" t="s">
        <v>7</v>
      </c>
      <c r="C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tr">
        <f>NFFT_M7[[#This Row],[country]]&amp; " "&amp;NFFT_M7[[#This Row],[cluster]]</f>
        <v>Canada 1</v>
      </c>
      <c r="B12" t="s">
        <v>8</v>
      </c>
      <c r="C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tr">
        <f>NFFT_M7[[#This Row],[country]]&amp; " "&amp;NFFT_M7[[#This Row],[cluster]]</f>
        <v>Guatemala 1</v>
      </c>
      <c r="B13" t="s">
        <v>9</v>
      </c>
      <c r="C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 t="str">
        <f>NFFT_M7[[#This Row],[country]]&amp; " "&amp;NFFT_M7[[#This Row],[cluster]]</f>
        <v>Russia 1</v>
      </c>
      <c r="B14" t="s">
        <v>10</v>
      </c>
      <c r="C14">
        <v>1</v>
      </c>
      <c r="D14">
        <v>2.488</v>
      </c>
      <c r="E14">
        <v>825.56363636363642</v>
      </c>
      <c r="F14">
        <v>56</v>
      </c>
      <c r="G14">
        <v>45406</v>
      </c>
      <c r="H14">
        <v>50</v>
      </c>
      <c r="I14">
        <v>0.45335629970362978</v>
      </c>
      <c r="J14">
        <v>14</v>
      </c>
      <c r="K14">
        <v>8.8796323457514426</v>
      </c>
    </row>
    <row r="15" spans="1:11" x14ac:dyDescent="0.35">
      <c r="A15" t="str">
        <f>NFFT_M7[[#This Row],[country]]&amp; " "&amp;NFFT_M7[[#This Row],[cluster]]</f>
        <v>Russia 2</v>
      </c>
      <c r="B15" t="s">
        <v>10</v>
      </c>
      <c r="C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5">
      <c r="A16" t="str">
        <f>NFFT_M7[[#This Row],[country]]&amp; " "&amp;NFFT_M7[[#This Row],[cluster]]</f>
        <v>Russia 3</v>
      </c>
      <c r="B16" t="s">
        <v>10</v>
      </c>
      <c r="C16">
        <v>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5">
      <c r="A17" t="str">
        <f>NFFT_M7[[#This Row],[country]]&amp; " "&amp;NFFT_M7[[#This Row],[cluster]]</f>
        <v>China 1</v>
      </c>
      <c r="B17" t="s">
        <v>11</v>
      </c>
      <c r="C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 t="str">
        <f>NFFT_M7[[#This Row],[country]]&amp; " "&amp;NFFT_M7[[#This Row],[cluster]]</f>
        <v>China 2</v>
      </c>
      <c r="B18" t="s">
        <v>11</v>
      </c>
      <c r="C18">
        <v>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 t="str">
        <f>NFFT_M7[[#This Row],[country]]&amp; " "&amp;NFFT_M7[[#This Row],[cluster]]</f>
        <v>India 1</v>
      </c>
      <c r="B19" t="s">
        <v>12</v>
      </c>
      <c r="C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5">
      <c r="A20" t="str">
        <f>NFFT_M7[[#This Row],[country]]&amp; " "&amp;NFFT_M7[[#This Row],[cluster]]</f>
        <v>India 2</v>
      </c>
      <c r="B20" t="s">
        <v>12</v>
      </c>
      <c r="C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 t="str">
        <f>NFFT_M7[[#This Row],[country]]&amp; " "&amp;NFFT_M7[[#This Row],[cluster]]</f>
        <v>Iran 1</v>
      </c>
      <c r="B21" t="s">
        <v>13</v>
      </c>
      <c r="C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 t="str">
        <f>NFFT_M7[[#This Row],[country]]&amp; " "&amp;NFFT_M7[[#This Row],[cluster]]</f>
        <v>Iran 2</v>
      </c>
      <c r="B22" t="s">
        <v>13</v>
      </c>
      <c r="C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 t="str">
        <f>NFFT_M7[[#This Row],[country]]&amp; " "&amp;NFFT_M7[[#This Row],[cluster]]</f>
        <v>Iran 3</v>
      </c>
      <c r="B23" t="s">
        <v>13</v>
      </c>
      <c r="C23">
        <v>3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 t="str">
        <f>NFFT_M7[[#This Row],[country]]&amp; " "&amp;NFFT_M7[[#This Row],[cluster]]</f>
        <v>Nicaragua 1</v>
      </c>
      <c r="B24" t="s">
        <v>14</v>
      </c>
      <c r="C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 t="str">
        <f>NFFT_M7[[#This Row],[country]]&amp; " "&amp;NFFT_M7[[#This Row],[cluster]]</f>
        <v>El Salvador 1</v>
      </c>
      <c r="B25" t="s">
        <v>15</v>
      </c>
      <c r="C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5">
      <c r="A26" t="str">
        <f>NFFT_M7[[#This Row],[country]]&amp; " "&amp;NFFT_M7[[#This Row],[cluster]]</f>
        <v>Costa Rica 1</v>
      </c>
      <c r="B26" t="s">
        <v>16</v>
      </c>
      <c r="C26">
        <v>1</v>
      </c>
      <c r="E26">
        <v>4098.3999999999996</v>
      </c>
      <c r="F26">
        <v>11</v>
      </c>
      <c r="G26">
        <v>40984</v>
      </c>
      <c r="H26">
        <v>0</v>
      </c>
      <c r="I26">
        <v>0</v>
      </c>
      <c r="J26">
        <v>0</v>
      </c>
      <c r="K26">
        <v>0</v>
      </c>
    </row>
    <row r="27" spans="1:11" x14ac:dyDescent="0.35">
      <c r="A27" t="str">
        <f>NFFT_M7[[#This Row],[country]]&amp; " "&amp;NFFT_M7[[#This Row],[cluster]]</f>
        <v>Dominican 1</v>
      </c>
      <c r="B27" t="s">
        <v>17</v>
      </c>
      <c r="C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35">
      <c r="A28" t="str">
        <f>NFFT_M7[[#This Row],[country]]&amp; " "&amp;NFFT_M7[[#This Row],[cluster]]</f>
        <v>Chile 1</v>
      </c>
      <c r="B28" t="s">
        <v>18</v>
      </c>
      <c r="C28">
        <v>1</v>
      </c>
      <c r="D28">
        <v>6.6230000000000002</v>
      </c>
      <c r="E28">
        <v>1022.1395348837209</v>
      </c>
      <c r="F28">
        <v>44</v>
      </c>
      <c r="G28">
        <v>43952</v>
      </c>
      <c r="H28">
        <v>18.181818181818183</v>
      </c>
      <c r="I28">
        <v>0.82056507712614679</v>
      </c>
      <c r="J28">
        <v>4</v>
      </c>
      <c r="K28">
        <v>30.083504449007528</v>
      </c>
    </row>
    <row r="29" spans="1:11" x14ac:dyDescent="0.35">
      <c r="A29" t="str">
        <f>NFFT_M7[[#This Row],[country]]&amp; " "&amp;NFFT_M7[[#This Row],[cluster]]</f>
        <v>Argentina 1</v>
      </c>
      <c r="B29" t="s">
        <v>19</v>
      </c>
      <c r="C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35">
      <c r="A30" t="str">
        <f>NFFT_M7[[#This Row],[country]]&amp; " "&amp;NFFT_M7[[#This Row],[cluster]]</f>
        <v>Argentina 2</v>
      </c>
      <c r="B30" t="s">
        <v>19</v>
      </c>
      <c r="C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35">
      <c r="A31" t="str">
        <f>NFFT_M7[[#This Row],[country]]&amp; " "&amp;NFFT_M7[[#This Row],[cluster]]</f>
        <v>Argentina 3</v>
      </c>
      <c r="B31" t="s">
        <v>19</v>
      </c>
      <c r="C31">
        <v>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35">
      <c r="A32" t="str">
        <f>NFFT_M7[[#This Row],[country]]&amp; " "&amp;NFFT_M7[[#This Row],[cluster]]</f>
        <v>Peru 1</v>
      </c>
      <c r="B32" t="s">
        <v>20</v>
      </c>
      <c r="C32">
        <v>1</v>
      </c>
      <c r="D32">
        <v>3.1419999999999999</v>
      </c>
      <c r="E32">
        <v>1344</v>
      </c>
      <c r="F32">
        <v>33</v>
      </c>
      <c r="G32">
        <v>43008</v>
      </c>
      <c r="H32">
        <v>37.5</v>
      </c>
      <c r="I32">
        <v>0.55247225728249727</v>
      </c>
      <c r="J32">
        <v>6</v>
      </c>
      <c r="K32">
        <v>19.6249144421629</v>
      </c>
    </row>
    <row r="33" spans="1:11" x14ac:dyDescent="0.35">
      <c r="A33" t="str">
        <f>NFFT_M7[[#This Row],[country]]&amp; " "&amp;NFFT_M7[[#This Row],[cluster]]</f>
        <v>Colombia 1</v>
      </c>
      <c r="B33" t="s">
        <v>21</v>
      </c>
      <c r="C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35">
      <c r="A34" t="str">
        <f>NFFT_M7[[#This Row],[country]]&amp; " "&amp;NFFT_M7[[#This Row],[cluster]]</f>
        <v>Colombia 2</v>
      </c>
      <c r="B34" t="s">
        <v>21</v>
      </c>
      <c r="C34">
        <v>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35">
      <c r="A35" t="str">
        <f>NFFT_M7[[#This Row],[country]]&amp; " "&amp;NFFT_M7[[#This Row],[cluster]]</f>
        <v>Indonesia 1</v>
      </c>
      <c r="B35" t="s">
        <v>22</v>
      </c>
      <c r="C35">
        <v>1</v>
      </c>
      <c r="D35">
        <v>2.9249999999999998</v>
      </c>
      <c r="E35">
        <v>523.94318181818187</v>
      </c>
      <c r="F35">
        <v>89</v>
      </c>
      <c r="G35">
        <v>46107</v>
      </c>
      <c r="H35">
        <v>43.18181818181818</v>
      </c>
      <c r="I35">
        <v>0.25249495608418682</v>
      </c>
      <c r="J35">
        <v>19</v>
      </c>
      <c r="K35">
        <v>6.643899275910516</v>
      </c>
    </row>
    <row r="36" spans="1:11" x14ac:dyDescent="0.35">
      <c r="A36" t="str">
        <f>NFFT_M7[[#This Row],[country]]&amp; " "&amp;NFFT_M7[[#This Row],[cluster]]</f>
        <v>Timor Leste 1</v>
      </c>
      <c r="B36" t="s">
        <v>23</v>
      </c>
      <c r="C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35">
      <c r="A37" t="str">
        <f>NFFT_M7[[#This Row],[country]]&amp; " "&amp;NFFT_M7[[#This Row],[cluster]]</f>
        <v>Australia 3</v>
      </c>
      <c r="B37" t="s">
        <v>24</v>
      </c>
      <c r="C37">
        <v>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35">
      <c r="A38" t="str">
        <f>NFFT_M7[[#This Row],[country]]&amp; " "&amp;NFFT_M7[[#This Row],[cluster]]</f>
        <v>New Zealand 1</v>
      </c>
      <c r="B38" t="s">
        <v>25</v>
      </c>
      <c r="C38">
        <v>1</v>
      </c>
      <c r="D38">
        <v>4.798</v>
      </c>
      <c r="E38">
        <v>1211.9705882352941</v>
      </c>
      <c r="F38">
        <v>35</v>
      </c>
      <c r="G38">
        <v>41207</v>
      </c>
      <c r="H38">
        <v>23.52941176470588</v>
      </c>
      <c r="I38">
        <v>1.4968686961958879</v>
      </c>
      <c r="J38">
        <v>4</v>
      </c>
      <c r="K38">
        <v>28.204654346338124</v>
      </c>
    </row>
    <row r="39" spans="1:11" x14ac:dyDescent="0.35">
      <c r="A39" t="str">
        <f>NFFT_M7[[#This Row],[country]]&amp; " "&amp;NFFT_M7[[#This Row],[cluster]]</f>
        <v>New Zealand 2</v>
      </c>
      <c r="B39" t="s">
        <v>25</v>
      </c>
      <c r="C39">
        <v>2</v>
      </c>
      <c r="E39">
        <v>2577.9</v>
      </c>
      <c r="F39">
        <v>11</v>
      </c>
      <c r="G39">
        <v>25779</v>
      </c>
      <c r="H39">
        <v>0</v>
      </c>
      <c r="I39">
        <v>0</v>
      </c>
      <c r="J39">
        <v>0</v>
      </c>
      <c r="K39">
        <v>0</v>
      </c>
    </row>
    <row r="40" spans="1:11" x14ac:dyDescent="0.35">
      <c r="A40" t="str">
        <f>NFFT_M7[[#This Row],[country]]&amp; " "&amp;NFFT_M7[[#This Row],[cluster]]</f>
        <v>Algeria 1</v>
      </c>
      <c r="B40" t="s">
        <v>26</v>
      </c>
      <c r="C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35">
      <c r="A41" t="str">
        <f>NFFT_M7[[#This Row],[country]]&amp; " "&amp;NFFT_M7[[#This Row],[cluster]]</f>
        <v>Algeria 2</v>
      </c>
      <c r="B41" t="s">
        <v>26</v>
      </c>
      <c r="C41">
        <v>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35">
      <c r="A42" t="str">
        <f>NFFT_M7[[#This Row],[country]]&amp; " "&amp;NFFT_M7[[#This Row],[cluster]]</f>
        <v>Somalia 1</v>
      </c>
      <c r="B42" t="s">
        <v>27</v>
      </c>
      <c r="C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35">
      <c r="A43" t="str">
        <f>NFFT_M7[[#This Row],[country]]&amp; " "&amp;NFFT_M7[[#This Row],[cluster]]</f>
        <v>Somalia 2</v>
      </c>
      <c r="B43" t="s">
        <v>27</v>
      </c>
      <c r="C43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35">
      <c r="A44" t="str">
        <f>NFFT_M7[[#This Row],[country]]&amp; " "&amp;NFFT_M7[[#This Row],[cluster]]</f>
        <v>South Africa 1</v>
      </c>
      <c r="B44" t="s">
        <v>28</v>
      </c>
      <c r="C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35">
      <c r="A45" t="str">
        <f>NFFT_M7[[#This Row],[country]]&amp; " "&amp;NFFT_M7[[#This Row],[cluster]]</f>
        <v>South Africa 2</v>
      </c>
      <c r="B45" t="s">
        <v>28</v>
      </c>
      <c r="C45">
        <v>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35">
      <c r="A46" t="str">
        <f>NFFT_M7[[#This Row],[country]]&amp; " "&amp;NFFT_M7[[#This Row],[cluster]]</f>
        <v>South Africa 3</v>
      </c>
      <c r="B46" t="s">
        <v>28</v>
      </c>
      <c r="C46">
        <v>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35">
      <c r="A47" t="str">
        <f>NFFT_M7[[#This Row],[country]]&amp; " "&amp;NFFT_M7[[#This Row],[cluster]]</f>
        <v>Saint Helena 1</v>
      </c>
      <c r="B47" t="s">
        <v>29</v>
      </c>
      <c r="C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C70F1-B213-4D16-9872-89F00E77F063}">
  <dimension ref="A1:K41"/>
  <sheetViews>
    <sheetView topLeftCell="A20" workbookViewId="0">
      <selection activeCell="A2" sqref="A2:A41"/>
    </sheetView>
  </sheetViews>
  <sheetFormatPr defaultRowHeight="14.5" x14ac:dyDescent="0.35"/>
  <cols>
    <col min="2" max="2" width="16.6328125" bestFit="1" customWidth="1"/>
    <col min="4" max="4" width="17.26953125" bestFit="1" customWidth="1"/>
    <col min="5" max="5" width="11.81640625" bestFit="1" customWidth="1"/>
    <col min="6" max="6" width="18.08984375" bestFit="1" customWidth="1"/>
    <col min="7" max="7" width="18.90625" bestFit="1" customWidth="1"/>
    <col min="8" max="8" width="9.54296875" bestFit="1" customWidth="1"/>
    <col min="9" max="9" width="18.81640625" bestFit="1" customWidth="1"/>
    <col min="10" max="10" width="18.6328125" bestFit="1" customWidth="1"/>
    <col min="11" max="11" width="29.26953125" bestFit="1" customWidth="1"/>
  </cols>
  <sheetData>
    <row r="1" spans="1:11" x14ac:dyDescent="0.35">
      <c r="B1" t="s">
        <v>0</v>
      </c>
      <c r="C1" t="s">
        <v>30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 x14ac:dyDescent="0.35">
      <c r="A2" t="str">
        <f>NFFT_M8[[#This Row],[country]]&amp; " "&amp;NFFT_M8[[#This Row],[cluster]]</f>
        <v>Japan 1</v>
      </c>
      <c r="B2" t="s">
        <v>2</v>
      </c>
      <c r="C2">
        <v>1</v>
      </c>
      <c r="D2" t="s">
        <v>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tr">
        <f>NFFT_M8[[#This Row],[country]]&amp; " "&amp;NFFT_M8[[#This Row],[cluster]]</f>
        <v>Japan 2</v>
      </c>
      <c r="B3" t="s">
        <v>2</v>
      </c>
      <c r="C3">
        <v>2</v>
      </c>
      <c r="D3" t="s">
        <v>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tr">
        <f>NFFT_M8[[#This Row],[country]]&amp; " "&amp;NFFT_M8[[#This Row],[cluster]]</f>
        <v>Papua New Guinea 1</v>
      </c>
      <c r="B4" t="s">
        <v>3</v>
      </c>
      <c r="C4">
        <v>1</v>
      </c>
      <c r="D4" t="s">
        <v>44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tr">
        <f>NFFT_M8[[#This Row],[country]]&amp; " "&amp;NFFT_M8[[#This Row],[cluster]]</f>
        <v>Philippines 1</v>
      </c>
      <c r="B5" t="s">
        <v>4</v>
      </c>
      <c r="C5">
        <v>1</v>
      </c>
      <c r="D5" t="s">
        <v>44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tr">
        <f>NFFT_M8[[#This Row],[country]]&amp; " "&amp;NFFT_M8[[#This Row],[cluster]]</f>
        <v>Tonga 1</v>
      </c>
      <c r="B6" t="s">
        <v>5</v>
      </c>
      <c r="C6">
        <v>1</v>
      </c>
      <c r="D6" t="s">
        <v>44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tr">
        <f>NFFT_M8[[#This Row],[country]]&amp; " "&amp;NFFT_M8[[#This Row],[cluster]]</f>
        <v>USA 1</v>
      </c>
      <c r="B7" t="s">
        <v>6</v>
      </c>
      <c r="C7">
        <v>1</v>
      </c>
      <c r="D7" t="s">
        <v>44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tr">
        <f>NFFT_M8[[#This Row],[country]]&amp; " "&amp;NFFT_M8[[#This Row],[cluster]]</f>
        <v>Mexico 1</v>
      </c>
      <c r="B8" t="s">
        <v>7</v>
      </c>
      <c r="C8">
        <v>1</v>
      </c>
      <c r="D8" t="s">
        <v>44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tr">
        <f>NFFT_M8[[#This Row],[country]]&amp; " "&amp;NFFT_M8[[#This Row],[cluster]]</f>
        <v>Canada 1</v>
      </c>
      <c r="B9" t="s">
        <v>8</v>
      </c>
      <c r="C9">
        <v>1</v>
      </c>
      <c r="D9" t="s">
        <v>44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tr">
        <f>NFFT_M8[[#This Row],[country]]&amp; " "&amp;NFFT_M8[[#This Row],[cluster]]</f>
        <v>Guatemala 1</v>
      </c>
      <c r="B10" t="s">
        <v>9</v>
      </c>
      <c r="C10">
        <v>1</v>
      </c>
      <c r="D10" t="s">
        <v>44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tr">
        <f>NFFT_M8[[#This Row],[country]]&amp; " "&amp;NFFT_M8[[#This Row],[cluster]]</f>
        <v>Russia 1</v>
      </c>
      <c r="B11" t="s">
        <v>10</v>
      </c>
      <c r="C11">
        <v>1</v>
      </c>
      <c r="D11" t="s">
        <v>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tr">
        <f>NFFT_M8[[#This Row],[country]]&amp; " "&amp;NFFT_M8[[#This Row],[cluster]]</f>
        <v>China 1</v>
      </c>
      <c r="B12" t="s">
        <v>11</v>
      </c>
      <c r="C12">
        <v>1</v>
      </c>
      <c r="D12" t="s">
        <v>44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tr">
        <f>NFFT_M8[[#This Row],[country]]&amp; " "&amp;NFFT_M8[[#This Row],[cluster]]</f>
        <v>China 2</v>
      </c>
      <c r="B13" t="s">
        <v>11</v>
      </c>
      <c r="C13">
        <v>2</v>
      </c>
      <c r="D13" t="s">
        <v>44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 t="str">
        <f>NFFT_M8[[#This Row],[country]]&amp; " "&amp;NFFT_M8[[#This Row],[cluster]]</f>
        <v>India 1</v>
      </c>
      <c r="B14" t="s">
        <v>12</v>
      </c>
      <c r="C14">
        <v>1</v>
      </c>
      <c r="D14" t="s">
        <v>44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5">
      <c r="A15" t="str">
        <f>NFFT_M8[[#This Row],[country]]&amp; " "&amp;NFFT_M8[[#This Row],[cluster]]</f>
        <v>India 2</v>
      </c>
      <c r="B15" t="s">
        <v>12</v>
      </c>
      <c r="C15">
        <v>2</v>
      </c>
      <c r="D15" t="s">
        <v>44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5">
      <c r="A16" t="str">
        <f>NFFT_M8[[#This Row],[country]]&amp; " "&amp;NFFT_M8[[#This Row],[cluster]]</f>
        <v>Iran 1</v>
      </c>
      <c r="B16" t="s">
        <v>13</v>
      </c>
      <c r="C16">
        <v>1</v>
      </c>
      <c r="D16" t="s">
        <v>44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5">
      <c r="A17" t="str">
        <f>NFFT_M8[[#This Row],[country]]&amp; " "&amp;NFFT_M8[[#This Row],[cluster]]</f>
        <v>Iran 2</v>
      </c>
      <c r="B17" t="s">
        <v>13</v>
      </c>
      <c r="C17">
        <v>2</v>
      </c>
      <c r="D17" t="s">
        <v>44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 t="str">
        <f>NFFT_M8[[#This Row],[country]]&amp; " "&amp;NFFT_M8[[#This Row],[cluster]]</f>
        <v>Iran 3</v>
      </c>
      <c r="B18" t="s">
        <v>13</v>
      </c>
      <c r="C18">
        <v>3</v>
      </c>
      <c r="D18" t="s">
        <v>44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 t="str">
        <f>NFFT_M8[[#This Row],[country]]&amp; " "&amp;NFFT_M8[[#This Row],[cluster]]</f>
        <v>Nicaragua 1</v>
      </c>
      <c r="B19" t="s">
        <v>14</v>
      </c>
      <c r="C19">
        <v>1</v>
      </c>
      <c r="D19" t="s">
        <v>44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5">
      <c r="A20" t="str">
        <f>NFFT_M8[[#This Row],[country]]&amp; " "&amp;NFFT_M8[[#This Row],[cluster]]</f>
        <v>El Salvador 1</v>
      </c>
      <c r="B20" t="s">
        <v>15</v>
      </c>
      <c r="C20">
        <v>1</v>
      </c>
      <c r="D20" t="s">
        <v>44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 t="str">
        <f>NFFT_M8[[#This Row],[country]]&amp; " "&amp;NFFT_M8[[#This Row],[cluster]]</f>
        <v>Costa Rica 1</v>
      </c>
      <c r="B21" t="s">
        <v>16</v>
      </c>
      <c r="C21">
        <v>1</v>
      </c>
      <c r="D21" t="s">
        <v>44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 t="str">
        <f>NFFT_M8[[#This Row],[country]]&amp; " "&amp;NFFT_M8[[#This Row],[cluster]]</f>
        <v>Dominican 1</v>
      </c>
      <c r="B22" t="s">
        <v>17</v>
      </c>
      <c r="C22">
        <v>1</v>
      </c>
      <c r="D22" t="s">
        <v>44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 t="str">
        <f>NFFT_M8[[#This Row],[country]]&amp; " "&amp;NFFT_M8[[#This Row],[cluster]]</f>
        <v>Chile 1</v>
      </c>
      <c r="B23" t="s">
        <v>18</v>
      </c>
      <c r="C23">
        <v>1</v>
      </c>
      <c r="D23" t="s">
        <v>44</v>
      </c>
      <c r="E23">
        <v>3984.2</v>
      </c>
      <c r="F23">
        <v>11</v>
      </c>
      <c r="G23">
        <v>39842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 t="str">
        <f>NFFT_M8[[#This Row],[country]]&amp; " "&amp;NFFT_M8[[#This Row],[cluster]]</f>
        <v>Argentina 1</v>
      </c>
      <c r="B24" t="s">
        <v>19</v>
      </c>
      <c r="C24">
        <v>1</v>
      </c>
      <c r="D24" t="s">
        <v>44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 t="str">
        <f>NFFT_M8[[#This Row],[country]]&amp; " "&amp;NFFT_M8[[#This Row],[cluster]]</f>
        <v>Argentina 2</v>
      </c>
      <c r="B25" t="s">
        <v>19</v>
      </c>
      <c r="C25">
        <v>2</v>
      </c>
      <c r="D25" t="s">
        <v>44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5">
      <c r="A26" t="str">
        <f>NFFT_M8[[#This Row],[country]]&amp; " "&amp;NFFT_M8[[#This Row],[cluster]]</f>
        <v>Argentina 3</v>
      </c>
      <c r="B26" t="s">
        <v>19</v>
      </c>
      <c r="C26">
        <v>3</v>
      </c>
      <c r="D26" t="s">
        <v>44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5">
      <c r="A27" t="str">
        <f>NFFT_M8[[#This Row],[country]]&amp; " "&amp;NFFT_M8[[#This Row],[cluster]]</f>
        <v>Peru 1</v>
      </c>
      <c r="B27" t="s">
        <v>20</v>
      </c>
      <c r="C27">
        <v>1</v>
      </c>
      <c r="D27" t="s">
        <v>44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35">
      <c r="A28" t="str">
        <f>NFFT_M8[[#This Row],[country]]&amp; " "&amp;NFFT_M8[[#This Row],[cluster]]</f>
        <v>Colombia 1</v>
      </c>
      <c r="B28" t="s">
        <v>21</v>
      </c>
      <c r="C28">
        <v>1</v>
      </c>
      <c r="D28" t="s">
        <v>44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35">
      <c r="A29" t="str">
        <f>NFFT_M8[[#This Row],[country]]&amp; " "&amp;NFFT_M8[[#This Row],[cluster]]</f>
        <v>Colombia 2</v>
      </c>
      <c r="B29" t="s">
        <v>21</v>
      </c>
      <c r="C29">
        <v>2</v>
      </c>
      <c r="D29" t="s">
        <v>44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35">
      <c r="A30" t="str">
        <f>NFFT_M8[[#This Row],[country]]&amp; " "&amp;NFFT_M8[[#This Row],[cluster]]</f>
        <v>Indonesia 1</v>
      </c>
      <c r="B30" t="s">
        <v>22</v>
      </c>
      <c r="C30">
        <v>1</v>
      </c>
      <c r="D30" t="s">
        <v>44</v>
      </c>
      <c r="E30">
        <v>4086.2222222222222</v>
      </c>
      <c r="F30">
        <v>10</v>
      </c>
      <c r="G30">
        <v>36776</v>
      </c>
      <c r="H30">
        <v>0</v>
      </c>
      <c r="I30">
        <v>0</v>
      </c>
      <c r="J30">
        <v>0</v>
      </c>
      <c r="K30">
        <v>0</v>
      </c>
    </row>
    <row r="31" spans="1:11" x14ac:dyDescent="0.35">
      <c r="A31" t="str">
        <f>NFFT_M8[[#This Row],[country]]&amp; " "&amp;NFFT_M8[[#This Row],[cluster]]</f>
        <v>Timor Leste 1</v>
      </c>
      <c r="B31" t="s">
        <v>23</v>
      </c>
      <c r="C31">
        <v>1</v>
      </c>
      <c r="D31" t="s">
        <v>44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35">
      <c r="A32" t="str">
        <f>NFFT_M8[[#This Row],[country]]&amp; " "&amp;NFFT_M8[[#This Row],[cluster]]</f>
        <v>Australia 3</v>
      </c>
      <c r="B32" t="s">
        <v>24</v>
      </c>
      <c r="C32">
        <v>3</v>
      </c>
      <c r="D32" t="s">
        <v>44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35">
      <c r="A33" t="str">
        <f>NFFT_M8[[#This Row],[country]]&amp; " "&amp;NFFT_M8[[#This Row],[cluster]]</f>
        <v>New Zealand 1</v>
      </c>
      <c r="B33" t="s">
        <v>25</v>
      </c>
      <c r="C33">
        <v>1</v>
      </c>
      <c r="D33" t="s">
        <v>44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35">
      <c r="A34" t="str">
        <f>NFFT_M8[[#This Row],[country]]&amp; " "&amp;NFFT_M8[[#This Row],[cluster]]</f>
        <v>Algeria 1</v>
      </c>
      <c r="B34" t="s">
        <v>26</v>
      </c>
      <c r="C34">
        <v>1</v>
      </c>
      <c r="D34" t="s">
        <v>44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35">
      <c r="A35" t="str">
        <f>NFFT_M8[[#This Row],[country]]&amp; " "&amp;NFFT_M8[[#This Row],[cluster]]</f>
        <v>Algeria 2</v>
      </c>
      <c r="B35" t="s">
        <v>26</v>
      </c>
      <c r="C35">
        <v>2</v>
      </c>
      <c r="D35" t="s">
        <v>44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35">
      <c r="A36" t="str">
        <f>NFFT_M8[[#This Row],[country]]&amp; " "&amp;NFFT_M8[[#This Row],[cluster]]</f>
        <v>Somalia 1</v>
      </c>
      <c r="B36" t="s">
        <v>27</v>
      </c>
      <c r="C36">
        <v>1</v>
      </c>
      <c r="D36" t="s">
        <v>44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35">
      <c r="A37" t="str">
        <f>NFFT_M8[[#This Row],[country]]&amp; " "&amp;NFFT_M8[[#This Row],[cluster]]</f>
        <v>Somalia 2</v>
      </c>
      <c r="B37" t="s">
        <v>27</v>
      </c>
      <c r="C37">
        <v>2</v>
      </c>
      <c r="D37" t="s">
        <v>44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35">
      <c r="A38" t="str">
        <f>NFFT_M8[[#This Row],[country]]&amp; " "&amp;NFFT_M8[[#This Row],[cluster]]</f>
        <v>South Africa 1</v>
      </c>
      <c r="B38" t="s">
        <v>28</v>
      </c>
      <c r="C38">
        <v>1</v>
      </c>
      <c r="D38" t="s">
        <v>44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35">
      <c r="A39" t="str">
        <f>NFFT_M8[[#This Row],[country]]&amp; " "&amp;NFFT_M8[[#This Row],[cluster]]</f>
        <v>South Africa 2</v>
      </c>
      <c r="B39" t="s">
        <v>28</v>
      </c>
      <c r="C39">
        <v>2</v>
      </c>
      <c r="D39" t="s">
        <v>44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35">
      <c r="A40" t="str">
        <f>NFFT_M8[[#This Row],[country]]&amp; " "&amp;NFFT_M8[[#This Row],[cluster]]</f>
        <v>South Africa 3</v>
      </c>
      <c r="B40" t="s">
        <v>28</v>
      </c>
      <c r="C40">
        <v>3</v>
      </c>
      <c r="D40" t="s">
        <v>44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35">
      <c r="A41" t="str">
        <f>NFFT_M8[[#This Row],[country]]&amp; " "&amp;NFFT_M8[[#This Row],[cluster]]</f>
        <v>Saint Helena 1</v>
      </c>
      <c r="B41" t="s">
        <v>29</v>
      </c>
      <c r="C41">
        <v>1</v>
      </c>
      <c r="D41" t="s">
        <v>44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BE7234-D9A8-494C-93D1-C3027FC17C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results_v1</vt:lpstr>
      <vt:lpstr>NFFT_M4</vt:lpstr>
      <vt:lpstr>NFFT_M5</vt:lpstr>
      <vt:lpstr>NFFT_M6</vt:lpstr>
      <vt:lpstr>NFFT_M7</vt:lpstr>
      <vt:lpstr>NFFT_M8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h</dc:creator>
  <cp:lastModifiedBy>Eddie h</cp:lastModifiedBy>
  <dcterms:created xsi:type="dcterms:W3CDTF">2026-07-21T07:26:08Z</dcterms:created>
  <dcterms:modified xsi:type="dcterms:W3CDTF">2026-08-12T07:19:05Z</dcterms:modified>
</cp:coreProperties>
</file>