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_edd\Desktop\Paper Earthquake\Projectv3-combine-all\result\"/>
    </mc:Choice>
  </mc:AlternateContent>
  <xr:revisionPtr revIDLastSave="0" documentId="13_ncr:1_{6E34191A-DB67-49AF-948F-E939A09F5B34}" xr6:coauthVersionLast="47" xr6:coauthVersionMax="47" xr10:uidLastSave="{00000000-0000-0000-0000-000000000000}"/>
  <bookViews>
    <workbookView xWindow="-110" yWindow="-110" windowWidth="19420" windowHeight="12220" activeTab="3" xr2:uid="{968A9C51-55EF-4642-A43E-730CC2993D21}"/>
  </bookViews>
  <sheets>
    <sheet name="Table 7" sheetId="1" r:id="rId1"/>
    <sheet name="LSP_All" sheetId="9" r:id="rId2"/>
    <sheet name="NFFT_All" sheetId="8" r:id="rId3"/>
    <sheet name="Table 8" sheetId="10" r:id="rId4"/>
    <sheet name="statistics-M4" sheetId="2" r:id="rId5"/>
    <sheet name="statistics-M5" sheetId="4" r:id="rId6"/>
    <sheet name="statistics-M6" sheetId="5" r:id="rId7"/>
    <sheet name="statistics-M7" sheetId="6" r:id="rId8"/>
    <sheet name="statistics-M8" sheetId="7" r:id="rId9"/>
  </sheets>
  <definedNames>
    <definedName name="ExternalData_1" localSheetId="1" hidden="1">LSP_All!$A$1:$G$69</definedName>
    <definedName name="ExternalData_1" localSheetId="2" hidden="1">NFFT_All!$A$1:$G$69</definedName>
    <definedName name="ExternalData_1" localSheetId="4" hidden="1">'statistics-M4'!$A$1:$K$80</definedName>
    <definedName name="ExternalData_1" localSheetId="5" hidden="1">'statistics-M5'!$A$1:$K$80</definedName>
    <definedName name="ExternalData_1" localSheetId="6" hidden="1">'statistics-M6'!$A$1:$K$80</definedName>
    <definedName name="ExternalData_1" localSheetId="7" hidden="1">'statistics-M7'!$A$1:$K$80</definedName>
    <definedName name="ExternalData_1" localSheetId="8" hidden="1">'statistics-M8'!$A$1:$K$80</definedName>
  </definedNames>
  <calcPr calcId="191029"/>
</workbook>
</file>

<file path=xl/calcChain.xml><?xml version="1.0" encoding="utf-8"?>
<calcChain xmlns="http://schemas.openxmlformats.org/spreadsheetml/2006/main">
  <c r="F4" i="10" l="1"/>
  <c r="E4" i="10"/>
  <c r="D4" i="10"/>
  <c r="C4" i="10"/>
  <c r="B4" i="10"/>
  <c r="F3" i="10"/>
  <c r="E3" i="10"/>
  <c r="D3" i="10"/>
  <c r="C3" i="10"/>
  <c r="B3" i="10"/>
  <c r="F2" i="10"/>
  <c r="E2" i="10"/>
  <c r="D2" i="10"/>
  <c r="C2" i="10"/>
  <c r="B2" i="10"/>
  <c r="G34" i="1"/>
  <c r="F34" i="1"/>
  <c r="E34" i="1"/>
  <c r="D34" i="1"/>
  <c r="C34" i="1"/>
  <c r="G33" i="1"/>
  <c r="F33" i="1"/>
  <c r="E33" i="1"/>
  <c r="D33" i="1"/>
  <c r="C33" i="1"/>
  <c r="G32" i="1"/>
  <c r="F32" i="1"/>
  <c r="E32" i="1"/>
  <c r="D32" i="1"/>
  <c r="C32" i="1"/>
  <c r="G29" i="1"/>
  <c r="F29" i="1"/>
  <c r="E29" i="1"/>
  <c r="D29" i="1"/>
  <c r="C29" i="1"/>
  <c r="G28" i="1"/>
  <c r="F28" i="1"/>
  <c r="E28" i="1"/>
  <c r="D28" i="1"/>
  <c r="C28" i="1"/>
  <c r="G27" i="1"/>
  <c r="F27" i="1"/>
  <c r="E27" i="1"/>
  <c r="D27" i="1"/>
  <c r="C27" i="1"/>
  <c r="G24" i="1"/>
  <c r="F24" i="1"/>
  <c r="E24" i="1"/>
  <c r="D24" i="1"/>
  <c r="C24" i="1"/>
  <c r="G23" i="1"/>
  <c r="F23" i="1"/>
  <c r="E23" i="1"/>
  <c r="D23" i="1"/>
  <c r="C23" i="1"/>
  <c r="G22" i="1"/>
  <c r="F22" i="1"/>
  <c r="E22" i="1"/>
  <c r="D22" i="1"/>
  <c r="C22" i="1"/>
  <c r="G19" i="1"/>
  <c r="F19" i="1"/>
  <c r="E19" i="1"/>
  <c r="D19" i="1"/>
  <c r="C19" i="1"/>
  <c r="G18" i="1"/>
  <c r="F18" i="1"/>
  <c r="E18" i="1"/>
  <c r="D18" i="1"/>
  <c r="C18" i="1"/>
  <c r="G17" i="1"/>
  <c r="F17" i="1"/>
  <c r="E17" i="1"/>
  <c r="D17" i="1"/>
  <c r="C17" i="1"/>
  <c r="G14" i="1"/>
  <c r="F14" i="1"/>
  <c r="E14" i="1"/>
  <c r="D14" i="1"/>
  <c r="C14" i="1"/>
  <c r="G13" i="1"/>
  <c r="F13" i="1"/>
  <c r="E13" i="1"/>
  <c r="D13" i="1"/>
  <c r="C13" i="1"/>
  <c r="G12" i="1"/>
  <c r="F12" i="1"/>
  <c r="E12" i="1"/>
  <c r="D12" i="1"/>
  <c r="C12" i="1"/>
  <c r="G9" i="1"/>
  <c r="F9" i="1"/>
  <c r="E9" i="1"/>
  <c r="D9" i="1"/>
  <c r="C9" i="1"/>
  <c r="G8" i="1"/>
  <c r="F8" i="1"/>
  <c r="E8" i="1"/>
  <c r="D8" i="1"/>
  <c r="C8" i="1"/>
  <c r="G7" i="1"/>
  <c r="F7" i="1"/>
  <c r="E7" i="1"/>
  <c r="D7" i="1"/>
  <c r="C7" i="1"/>
  <c r="G4" i="1"/>
  <c r="F4" i="1"/>
  <c r="E4" i="1"/>
  <c r="D4" i="1"/>
  <c r="C4" i="1"/>
  <c r="G3" i="1"/>
  <c r="F3" i="1"/>
  <c r="E3" i="1"/>
  <c r="D3" i="1"/>
  <c r="C3" i="1"/>
  <c r="G2" i="1"/>
  <c r="F2" i="1"/>
  <c r="E2" i="1"/>
  <c r="D2" i="1"/>
  <c r="C2" i="1"/>
  <c r="Y70" i="8" l="1"/>
  <c r="S70" i="8"/>
  <c r="M70" i="8"/>
  <c r="F8" i="10" s="1"/>
  <c r="F5" i="10"/>
  <c r="G30" i="1"/>
  <c r="G25" i="1"/>
  <c r="H2" i="8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Y69" i="9"/>
  <c r="Y68" i="9"/>
  <c r="Y67" i="9"/>
  <c r="Y66" i="9"/>
  <c r="Y65" i="9"/>
  <c r="Y64" i="9"/>
  <c r="Y63" i="9"/>
  <c r="Y62" i="9"/>
  <c r="Y61" i="9"/>
  <c r="Y60" i="9"/>
  <c r="Y59" i="9"/>
  <c r="Y58" i="9"/>
  <c r="Y57" i="9"/>
  <c r="Y56" i="9"/>
  <c r="Y55" i="9"/>
  <c r="Y54" i="9"/>
  <c r="Y53" i="9"/>
  <c r="Y52" i="9"/>
  <c r="Y51" i="9"/>
  <c r="Y50" i="9"/>
  <c r="Y49" i="9"/>
  <c r="Y48" i="9"/>
  <c r="Y47" i="9"/>
  <c r="Y46" i="9"/>
  <c r="Y45" i="9"/>
  <c r="Y44" i="9"/>
  <c r="Y43" i="9"/>
  <c r="Y42" i="9"/>
  <c r="Y41" i="9"/>
  <c r="Y40" i="9"/>
  <c r="Y39" i="9"/>
  <c r="Y38" i="9"/>
  <c r="Y37" i="9"/>
  <c r="Y36" i="9"/>
  <c r="Y35" i="9"/>
  <c r="Y34" i="9"/>
  <c r="Y33" i="9"/>
  <c r="Y32" i="9"/>
  <c r="Y31" i="9"/>
  <c r="Y30" i="9"/>
  <c r="Y29" i="9"/>
  <c r="Y28" i="9"/>
  <c r="Y27" i="9"/>
  <c r="Y26" i="9"/>
  <c r="Y25" i="9"/>
  <c r="Y24" i="9"/>
  <c r="Y23" i="9"/>
  <c r="Y22" i="9"/>
  <c r="Y21" i="9"/>
  <c r="Y20" i="9"/>
  <c r="Y19" i="9"/>
  <c r="Y18" i="9"/>
  <c r="Y17" i="9"/>
  <c r="Y16" i="9"/>
  <c r="Y15" i="9"/>
  <c r="Y14" i="9"/>
  <c r="Y13" i="9"/>
  <c r="Y12" i="9"/>
  <c r="Y11" i="9"/>
  <c r="Y10" i="9"/>
  <c r="Y9" i="9"/>
  <c r="Y8" i="9"/>
  <c r="Y7" i="9"/>
  <c r="Y6" i="9"/>
  <c r="Y5" i="9"/>
  <c r="Y4" i="9"/>
  <c r="Y3" i="9"/>
  <c r="Y2" i="9"/>
  <c r="X69" i="9"/>
  <c r="X68" i="9"/>
  <c r="X67" i="9"/>
  <c r="X66" i="9"/>
  <c r="X65" i="9"/>
  <c r="X64" i="9"/>
  <c r="X63" i="9"/>
  <c r="X62" i="9"/>
  <c r="X61" i="9"/>
  <c r="X60" i="9"/>
  <c r="X59" i="9"/>
  <c r="X58" i="9"/>
  <c r="X57" i="9"/>
  <c r="X56" i="9"/>
  <c r="X55" i="9"/>
  <c r="X54" i="9"/>
  <c r="X53" i="9"/>
  <c r="X52" i="9"/>
  <c r="X51" i="9"/>
  <c r="X50" i="9"/>
  <c r="X49" i="9"/>
  <c r="X48" i="9"/>
  <c r="X47" i="9"/>
  <c r="X46" i="9"/>
  <c r="X45" i="9"/>
  <c r="X44" i="9"/>
  <c r="X43" i="9"/>
  <c r="X42" i="9"/>
  <c r="X41" i="9"/>
  <c r="X40" i="9"/>
  <c r="X39" i="9"/>
  <c r="X38" i="9"/>
  <c r="X37" i="9"/>
  <c r="X36" i="9"/>
  <c r="X35" i="9"/>
  <c r="X34" i="9"/>
  <c r="X33" i="9"/>
  <c r="X32" i="9"/>
  <c r="X31" i="9"/>
  <c r="X30" i="9"/>
  <c r="X29" i="9"/>
  <c r="X28" i="9"/>
  <c r="X27" i="9"/>
  <c r="X26" i="9"/>
  <c r="X25" i="9"/>
  <c r="X24" i="9"/>
  <c r="X23" i="9"/>
  <c r="X22" i="9"/>
  <c r="X21" i="9"/>
  <c r="X20" i="9"/>
  <c r="X19" i="9"/>
  <c r="X18" i="9"/>
  <c r="X17" i="9"/>
  <c r="X16" i="9"/>
  <c r="X15" i="9"/>
  <c r="X14" i="9"/>
  <c r="X13" i="9"/>
  <c r="X12" i="9"/>
  <c r="X11" i="9"/>
  <c r="X10" i="9"/>
  <c r="X9" i="9"/>
  <c r="X8" i="9"/>
  <c r="X7" i="9"/>
  <c r="X6" i="9"/>
  <c r="X5" i="9"/>
  <c r="X4" i="9"/>
  <c r="X3" i="9"/>
  <c r="X2" i="9"/>
  <c r="W69" i="9"/>
  <c r="W68" i="9"/>
  <c r="W67" i="9"/>
  <c r="W66" i="9"/>
  <c r="W65" i="9"/>
  <c r="W64" i="9"/>
  <c r="W63" i="9"/>
  <c r="W62" i="9"/>
  <c r="W61" i="9"/>
  <c r="W60" i="9"/>
  <c r="W59" i="9"/>
  <c r="W58" i="9"/>
  <c r="W57" i="9"/>
  <c r="W56" i="9"/>
  <c r="W55" i="9"/>
  <c r="W54" i="9"/>
  <c r="W53" i="9"/>
  <c r="W52" i="9"/>
  <c r="W51" i="9"/>
  <c r="W50" i="9"/>
  <c r="W49" i="9"/>
  <c r="W48" i="9"/>
  <c r="W47" i="9"/>
  <c r="W46" i="9"/>
  <c r="W45" i="9"/>
  <c r="W44" i="9"/>
  <c r="W43" i="9"/>
  <c r="W42" i="9"/>
  <c r="W41" i="9"/>
  <c r="W40" i="9"/>
  <c r="W39" i="9"/>
  <c r="W38" i="9"/>
  <c r="W37" i="9"/>
  <c r="W36" i="9"/>
  <c r="W35" i="9"/>
  <c r="W34" i="9"/>
  <c r="W33" i="9"/>
  <c r="W32" i="9"/>
  <c r="W31" i="9"/>
  <c r="W30" i="9"/>
  <c r="W29" i="9"/>
  <c r="W28" i="9"/>
  <c r="W27" i="9"/>
  <c r="W26" i="9"/>
  <c r="W25" i="9"/>
  <c r="W24" i="9"/>
  <c r="W23" i="9"/>
  <c r="W22" i="9"/>
  <c r="W21" i="9"/>
  <c r="W20" i="9"/>
  <c r="W19" i="9"/>
  <c r="W18" i="9"/>
  <c r="W17" i="9"/>
  <c r="W16" i="9"/>
  <c r="W15" i="9"/>
  <c r="W14" i="9"/>
  <c r="W13" i="9"/>
  <c r="W12" i="9"/>
  <c r="W11" i="9"/>
  <c r="W10" i="9"/>
  <c r="W9" i="9"/>
  <c r="W8" i="9"/>
  <c r="W7" i="9"/>
  <c r="W6" i="9"/>
  <c r="W5" i="9"/>
  <c r="W4" i="9"/>
  <c r="W3" i="9"/>
  <c r="W2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4" i="9"/>
  <c r="V33" i="9"/>
  <c r="V32" i="9"/>
  <c r="V31" i="9"/>
  <c r="V30" i="9"/>
  <c r="V29" i="9"/>
  <c r="V28" i="9"/>
  <c r="V27" i="9"/>
  <c r="V26" i="9"/>
  <c r="V25" i="9"/>
  <c r="V24" i="9"/>
  <c r="V23" i="9"/>
  <c r="V22" i="9"/>
  <c r="V21" i="9"/>
  <c r="V20" i="9"/>
  <c r="V19" i="9"/>
  <c r="V18" i="9"/>
  <c r="V17" i="9"/>
  <c r="V16" i="9"/>
  <c r="V15" i="9"/>
  <c r="V14" i="9"/>
  <c r="V13" i="9"/>
  <c r="V12" i="9"/>
  <c r="V11" i="9"/>
  <c r="V10" i="9"/>
  <c r="V9" i="9"/>
  <c r="V8" i="9"/>
  <c r="V7" i="9"/>
  <c r="V6" i="9"/>
  <c r="V5" i="9"/>
  <c r="V4" i="9"/>
  <c r="V3" i="9"/>
  <c r="V2" i="9"/>
  <c r="U69" i="9"/>
  <c r="U68" i="9"/>
  <c r="U67" i="9"/>
  <c r="U66" i="9"/>
  <c r="U65" i="9"/>
  <c r="U64" i="9"/>
  <c r="U63" i="9"/>
  <c r="U62" i="9"/>
  <c r="U61" i="9"/>
  <c r="U60" i="9"/>
  <c r="U59" i="9"/>
  <c r="U58" i="9"/>
  <c r="U57" i="9"/>
  <c r="U56" i="9"/>
  <c r="U55" i="9"/>
  <c r="U54" i="9"/>
  <c r="U53" i="9"/>
  <c r="U52" i="9"/>
  <c r="U51" i="9"/>
  <c r="U50" i="9"/>
  <c r="U49" i="9"/>
  <c r="U48" i="9"/>
  <c r="U47" i="9"/>
  <c r="U46" i="9"/>
  <c r="U45" i="9"/>
  <c r="U44" i="9"/>
  <c r="U43" i="9"/>
  <c r="U42" i="9"/>
  <c r="U41" i="9"/>
  <c r="U40" i="9"/>
  <c r="U39" i="9"/>
  <c r="U38" i="9"/>
  <c r="U37" i="9"/>
  <c r="U36" i="9"/>
  <c r="U35" i="9"/>
  <c r="U34" i="9"/>
  <c r="U33" i="9"/>
  <c r="U32" i="9"/>
  <c r="U31" i="9"/>
  <c r="U30" i="9"/>
  <c r="U29" i="9"/>
  <c r="U28" i="9"/>
  <c r="U27" i="9"/>
  <c r="U26" i="9"/>
  <c r="U25" i="9"/>
  <c r="U24" i="9"/>
  <c r="U23" i="9"/>
  <c r="U22" i="9"/>
  <c r="U21" i="9"/>
  <c r="U20" i="9"/>
  <c r="U19" i="9"/>
  <c r="U18" i="9"/>
  <c r="U17" i="9"/>
  <c r="U16" i="9"/>
  <c r="U15" i="9"/>
  <c r="U14" i="9"/>
  <c r="U13" i="9"/>
  <c r="U12" i="9"/>
  <c r="U11" i="9"/>
  <c r="U10" i="9"/>
  <c r="U3" i="9"/>
  <c r="U4" i="9"/>
  <c r="U5" i="9"/>
  <c r="U6" i="9"/>
  <c r="U7" i="9"/>
  <c r="U8" i="9"/>
  <c r="U9" i="9"/>
  <c r="U2" i="9"/>
  <c r="S69" i="9"/>
  <c r="S68" i="9"/>
  <c r="S67" i="9"/>
  <c r="S66" i="9"/>
  <c r="S65" i="9"/>
  <c r="S64" i="9"/>
  <c r="S63" i="9"/>
  <c r="S62" i="9"/>
  <c r="S61" i="9"/>
  <c r="S60" i="9"/>
  <c r="S59" i="9"/>
  <c r="S58" i="9"/>
  <c r="S57" i="9"/>
  <c r="S56" i="9"/>
  <c r="S55" i="9"/>
  <c r="S54" i="9"/>
  <c r="S53" i="9"/>
  <c r="S52" i="9"/>
  <c r="S51" i="9"/>
  <c r="S50" i="9"/>
  <c r="S49" i="9"/>
  <c r="S48" i="9"/>
  <c r="S47" i="9"/>
  <c r="S46" i="9"/>
  <c r="S45" i="9"/>
  <c r="S44" i="9"/>
  <c r="S43" i="9"/>
  <c r="S42" i="9"/>
  <c r="S41" i="9"/>
  <c r="S40" i="9"/>
  <c r="S39" i="9"/>
  <c r="S38" i="9"/>
  <c r="S37" i="9"/>
  <c r="S36" i="9"/>
  <c r="S35" i="9"/>
  <c r="S34" i="9"/>
  <c r="S33" i="9"/>
  <c r="S32" i="9"/>
  <c r="S31" i="9"/>
  <c r="S30" i="9"/>
  <c r="S29" i="9"/>
  <c r="S28" i="9"/>
  <c r="S27" i="9"/>
  <c r="S26" i="9"/>
  <c r="S25" i="9"/>
  <c r="S24" i="9"/>
  <c r="S23" i="9"/>
  <c r="S22" i="9"/>
  <c r="S21" i="9"/>
  <c r="S20" i="9"/>
  <c r="S19" i="9"/>
  <c r="S18" i="9"/>
  <c r="S17" i="9"/>
  <c r="S16" i="9"/>
  <c r="S15" i="9"/>
  <c r="S14" i="9"/>
  <c r="S13" i="9"/>
  <c r="S12" i="9"/>
  <c r="S11" i="9"/>
  <c r="S10" i="9"/>
  <c r="S9" i="9"/>
  <c r="S8" i="9"/>
  <c r="S7" i="9"/>
  <c r="S6" i="9"/>
  <c r="S5" i="9"/>
  <c r="S4" i="9"/>
  <c r="S3" i="9"/>
  <c r="S2" i="9"/>
  <c r="R69" i="9"/>
  <c r="R68" i="9"/>
  <c r="R67" i="9"/>
  <c r="R66" i="9"/>
  <c r="R65" i="9"/>
  <c r="R64" i="9"/>
  <c r="R63" i="9"/>
  <c r="R62" i="9"/>
  <c r="R61" i="9"/>
  <c r="R60" i="9"/>
  <c r="R59" i="9"/>
  <c r="R58" i="9"/>
  <c r="R57" i="9"/>
  <c r="R56" i="9"/>
  <c r="R55" i="9"/>
  <c r="R54" i="9"/>
  <c r="R53" i="9"/>
  <c r="R52" i="9"/>
  <c r="R51" i="9"/>
  <c r="R50" i="9"/>
  <c r="R49" i="9"/>
  <c r="R48" i="9"/>
  <c r="R47" i="9"/>
  <c r="R46" i="9"/>
  <c r="R45" i="9"/>
  <c r="R44" i="9"/>
  <c r="R43" i="9"/>
  <c r="R42" i="9"/>
  <c r="R41" i="9"/>
  <c r="R40" i="9"/>
  <c r="R39" i="9"/>
  <c r="R38" i="9"/>
  <c r="R37" i="9"/>
  <c r="R36" i="9"/>
  <c r="R35" i="9"/>
  <c r="R34" i="9"/>
  <c r="R33" i="9"/>
  <c r="R32" i="9"/>
  <c r="R31" i="9"/>
  <c r="R30" i="9"/>
  <c r="R29" i="9"/>
  <c r="R28" i="9"/>
  <c r="R27" i="9"/>
  <c r="R26" i="9"/>
  <c r="R25" i="9"/>
  <c r="R24" i="9"/>
  <c r="R23" i="9"/>
  <c r="R22" i="9"/>
  <c r="R21" i="9"/>
  <c r="R20" i="9"/>
  <c r="R19" i="9"/>
  <c r="R18" i="9"/>
  <c r="R17" i="9"/>
  <c r="R16" i="9"/>
  <c r="R15" i="9"/>
  <c r="R14" i="9"/>
  <c r="R13" i="9"/>
  <c r="R12" i="9"/>
  <c r="R11" i="9"/>
  <c r="R10" i="9"/>
  <c r="R9" i="9"/>
  <c r="R8" i="9"/>
  <c r="R7" i="9"/>
  <c r="R6" i="9"/>
  <c r="R5" i="9"/>
  <c r="R4" i="9"/>
  <c r="R3" i="9"/>
  <c r="R2" i="9"/>
  <c r="Q69" i="9"/>
  <c r="Q68" i="9"/>
  <c r="Q67" i="9"/>
  <c r="Q66" i="9"/>
  <c r="Q65" i="9"/>
  <c r="Q64" i="9"/>
  <c r="Q63" i="9"/>
  <c r="Q62" i="9"/>
  <c r="Q61" i="9"/>
  <c r="Q60" i="9"/>
  <c r="Q59" i="9"/>
  <c r="Q58" i="9"/>
  <c r="Q57" i="9"/>
  <c r="Q56" i="9"/>
  <c r="Q55" i="9"/>
  <c r="Q54" i="9"/>
  <c r="Q53" i="9"/>
  <c r="Q52" i="9"/>
  <c r="Q51" i="9"/>
  <c r="Q50" i="9"/>
  <c r="Q49" i="9"/>
  <c r="Q48" i="9"/>
  <c r="Q47" i="9"/>
  <c r="Q46" i="9"/>
  <c r="Q45" i="9"/>
  <c r="Q44" i="9"/>
  <c r="Q43" i="9"/>
  <c r="Q42" i="9"/>
  <c r="Q41" i="9"/>
  <c r="Q40" i="9"/>
  <c r="Q39" i="9"/>
  <c r="Q38" i="9"/>
  <c r="Q37" i="9"/>
  <c r="Q36" i="9"/>
  <c r="Q35" i="9"/>
  <c r="Q34" i="9"/>
  <c r="Q33" i="9"/>
  <c r="Q32" i="9"/>
  <c r="Q31" i="9"/>
  <c r="Q30" i="9"/>
  <c r="Q29" i="9"/>
  <c r="Q28" i="9"/>
  <c r="Q27" i="9"/>
  <c r="Q26" i="9"/>
  <c r="Q25" i="9"/>
  <c r="Q24" i="9"/>
  <c r="Q23" i="9"/>
  <c r="Q22" i="9"/>
  <c r="Q21" i="9"/>
  <c r="Q20" i="9"/>
  <c r="Q19" i="9"/>
  <c r="Q18" i="9"/>
  <c r="Q17" i="9"/>
  <c r="Q16" i="9"/>
  <c r="Q15" i="9"/>
  <c r="Q14" i="9"/>
  <c r="Q13" i="9"/>
  <c r="Q12" i="9"/>
  <c r="Q11" i="9"/>
  <c r="Q10" i="9"/>
  <c r="Q9" i="9"/>
  <c r="Q8" i="9"/>
  <c r="Q7" i="9"/>
  <c r="Q6" i="9"/>
  <c r="Q5" i="9"/>
  <c r="Q4" i="9"/>
  <c r="Q3" i="9"/>
  <c r="Q2" i="9"/>
  <c r="P69" i="9"/>
  <c r="P68" i="9"/>
  <c r="P67" i="9"/>
  <c r="P66" i="9"/>
  <c r="P65" i="9"/>
  <c r="P64" i="9"/>
  <c r="P63" i="9"/>
  <c r="P62" i="9"/>
  <c r="P61" i="9"/>
  <c r="P60" i="9"/>
  <c r="P59" i="9"/>
  <c r="P58" i="9"/>
  <c r="P57" i="9"/>
  <c r="P56" i="9"/>
  <c r="P55" i="9"/>
  <c r="P54" i="9"/>
  <c r="P53" i="9"/>
  <c r="P52" i="9"/>
  <c r="P51" i="9"/>
  <c r="P50" i="9"/>
  <c r="P49" i="9"/>
  <c r="P48" i="9"/>
  <c r="P47" i="9"/>
  <c r="P46" i="9"/>
  <c r="P45" i="9"/>
  <c r="P44" i="9"/>
  <c r="P43" i="9"/>
  <c r="P42" i="9"/>
  <c r="P41" i="9"/>
  <c r="P40" i="9"/>
  <c r="P39" i="9"/>
  <c r="P38" i="9"/>
  <c r="P37" i="9"/>
  <c r="P36" i="9"/>
  <c r="P35" i="9"/>
  <c r="P34" i="9"/>
  <c r="P33" i="9"/>
  <c r="P32" i="9"/>
  <c r="P31" i="9"/>
  <c r="P30" i="9"/>
  <c r="P29" i="9"/>
  <c r="P28" i="9"/>
  <c r="P27" i="9"/>
  <c r="P26" i="9"/>
  <c r="P25" i="9"/>
  <c r="P24" i="9"/>
  <c r="P23" i="9"/>
  <c r="P22" i="9"/>
  <c r="P21" i="9"/>
  <c r="P20" i="9"/>
  <c r="P19" i="9"/>
  <c r="P18" i="9"/>
  <c r="P17" i="9"/>
  <c r="P16" i="9"/>
  <c r="P15" i="9"/>
  <c r="P14" i="9"/>
  <c r="P13" i="9"/>
  <c r="P12" i="9"/>
  <c r="P11" i="9"/>
  <c r="P10" i="9"/>
  <c r="P9" i="9"/>
  <c r="P8" i="9"/>
  <c r="P7" i="9"/>
  <c r="P6" i="9"/>
  <c r="P5" i="9"/>
  <c r="P4" i="9"/>
  <c r="P3" i="9"/>
  <c r="P2" i="9"/>
  <c r="O69" i="9"/>
  <c r="O68" i="9"/>
  <c r="O67" i="9"/>
  <c r="O66" i="9"/>
  <c r="O65" i="9"/>
  <c r="O64" i="9"/>
  <c r="O63" i="9"/>
  <c r="O62" i="9"/>
  <c r="O61" i="9"/>
  <c r="O60" i="9"/>
  <c r="O59" i="9"/>
  <c r="O58" i="9"/>
  <c r="O57" i="9"/>
  <c r="O56" i="9"/>
  <c r="O55" i="9"/>
  <c r="O54" i="9"/>
  <c r="O53" i="9"/>
  <c r="O52" i="9"/>
  <c r="O51" i="9"/>
  <c r="O50" i="9"/>
  <c r="O49" i="9"/>
  <c r="O48" i="9"/>
  <c r="O47" i="9"/>
  <c r="O46" i="9"/>
  <c r="O45" i="9"/>
  <c r="O44" i="9"/>
  <c r="O43" i="9"/>
  <c r="O42" i="9"/>
  <c r="O41" i="9"/>
  <c r="O40" i="9"/>
  <c r="O39" i="9"/>
  <c r="O38" i="9"/>
  <c r="O37" i="9"/>
  <c r="O36" i="9"/>
  <c r="O35" i="9"/>
  <c r="O34" i="9"/>
  <c r="O33" i="9"/>
  <c r="O32" i="9"/>
  <c r="O31" i="9"/>
  <c r="O30" i="9"/>
  <c r="O29" i="9"/>
  <c r="O28" i="9"/>
  <c r="O27" i="9"/>
  <c r="O26" i="9"/>
  <c r="O25" i="9"/>
  <c r="O24" i="9"/>
  <c r="O23" i="9"/>
  <c r="O22" i="9"/>
  <c r="O21" i="9"/>
  <c r="O20" i="9"/>
  <c r="O19" i="9"/>
  <c r="O18" i="9"/>
  <c r="O17" i="9"/>
  <c r="O16" i="9"/>
  <c r="O15" i="9"/>
  <c r="O14" i="9"/>
  <c r="O13" i="9"/>
  <c r="O12" i="9"/>
  <c r="O11" i="9"/>
  <c r="O10" i="9"/>
  <c r="O3" i="9"/>
  <c r="O4" i="9"/>
  <c r="O5" i="9"/>
  <c r="O6" i="9"/>
  <c r="O7" i="9"/>
  <c r="O8" i="9"/>
  <c r="O9" i="9"/>
  <c r="O2" i="9"/>
  <c r="M69" i="9"/>
  <c r="M68" i="9"/>
  <c r="M67" i="9"/>
  <c r="M66" i="9"/>
  <c r="M65" i="9"/>
  <c r="M64" i="9"/>
  <c r="M63" i="9"/>
  <c r="M62" i="9"/>
  <c r="M61" i="9"/>
  <c r="M60" i="9"/>
  <c r="M59" i="9"/>
  <c r="M58" i="9"/>
  <c r="M57" i="9"/>
  <c r="M56" i="9"/>
  <c r="M55" i="9"/>
  <c r="M54" i="9"/>
  <c r="M53" i="9"/>
  <c r="M52" i="9"/>
  <c r="M51" i="9"/>
  <c r="M50" i="9"/>
  <c r="M49" i="9"/>
  <c r="M48" i="9"/>
  <c r="M47" i="9"/>
  <c r="M46" i="9"/>
  <c r="M45" i="9"/>
  <c r="M44" i="9"/>
  <c r="M43" i="9"/>
  <c r="M42" i="9"/>
  <c r="M41" i="9"/>
  <c r="M40" i="9"/>
  <c r="M39" i="9"/>
  <c r="M38" i="9"/>
  <c r="M37" i="9"/>
  <c r="M36" i="9"/>
  <c r="M35" i="9"/>
  <c r="M34" i="9"/>
  <c r="M33" i="9"/>
  <c r="M32" i="9"/>
  <c r="M31" i="9"/>
  <c r="M30" i="9"/>
  <c r="M29" i="9"/>
  <c r="M28" i="9"/>
  <c r="M27" i="9"/>
  <c r="M26" i="9"/>
  <c r="M25" i="9"/>
  <c r="M24" i="9"/>
  <c r="M23" i="9"/>
  <c r="M22" i="9"/>
  <c r="M21" i="9"/>
  <c r="M20" i="9"/>
  <c r="M19" i="9"/>
  <c r="M18" i="9"/>
  <c r="M17" i="9"/>
  <c r="M16" i="9"/>
  <c r="M15" i="9"/>
  <c r="M14" i="9"/>
  <c r="M13" i="9"/>
  <c r="M12" i="9"/>
  <c r="M11" i="9"/>
  <c r="M10" i="9"/>
  <c r="M9" i="9"/>
  <c r="M8" i="9"/>
  <c r="M7" i="9"/>
  <c r="M6" i="9"/>
  <c r="M5" i="9"/>
  <c r="M4" i="9"/>
  <c r="M3" i="9"/>
  <c r="M2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K69" i="9"/>
  <c r="K68" i="9"/>
  <c r="K67" i="9"/>
  <c r="K66" i="9"/>
  <c r="K65" i="9"/>
  <c r="K64" i="9"/>
  <c r="K63" i="9"/>
  <c r="K62" i="9"/>
  <c r="K61" i="9"/>
  <c r="K60" i="9"/>
  <c r="K59" i="9"/>
  <c r="K58" i="9"/>
  <c r="K57" i="9"/>
  <c r="K56" i="9"/>
  <c r="K55" i="9"/>
  <c r="K54" i="9"/>
  <c r="K53" i="9"/>
  <c r="K52" i="9"/>
  <c r="K51" i="9"/>
  <c r="K50" i="9"/>
  <c r="K49" i="9"/>
  <c r="K48" i="9"/>
  <c r="K47" i="9"/>
  <c r="K46" i="9"/>
  <c r="K45" i="9"/>
  <c r="K44" i="9"/>
  <c r="K43" i="9"/>
  <c r="K42" i="9"/>
  <c r="K41" i="9"/>
  <c r="K40" i="9"/>
  <c r="K39" i="9"/>
  <c r="K38" i="9"/>
  <c r="K37" i="9"/>
  <c r="K36" i="9"/>
  <c r="K35" i="9"/>
  <c r="K34" i="9"/>
  <c r="K33" i="9"/>
  <c r="K32" i="9"/>
  <c r="K31" i="9"/>
  <c r="K30" i="9"/>
  <c r="K29" i="9"/>
  <c r="K28" i="9"/>
  <c r="K27" i="9"/>
  <c r="K26" i="9"/>
  <c r="K25" i="9"/>
  <c r="K24" i="9"/>
  <c r="K23" i="9"/>
  <c r="K22" i="9"/>
  <c r="K21" i="9"/>
  <c r="K20" i="9"/>
  <c r="K19" i="9"/>
  <c r="K18" i="9"/>
  <c r="K17" i="9"/>
  <c r="K16" i="9"/>
  <c r="K15" i="9"/>
  <c r="K14" i="9"/>
  <c r="K13" i="9"/>
  <c r="K12" i="9"/>
  <c r="K11" i="9"/>
  <c r="K10" i="9"/>
  <c r="K9" i="9"/>
  <c r="K8" i="9"/>
  <c r="K7" i="9"/>
  <c r="K6" i="9"/>
  <c r="K5" i="9"/>
  <c r="K4" i="9"/>
  <c r="K3" i="9"/>
  <c r="K2" i="9"/>
  <c r="J69" i="9"/>
  <c r="J68" i="9"/>
  <c r="J67" i="9"/>
  <c r="J66" i="9"/>
  <c r="J65" i="9"/>
  <c r="J64" i="9"/>
  <c r="J63" i="9"/>
  <c r="J62" i="9"/>
  <c r="J61" i="9"/>
  <c r="J60" i="9"/>
  <c r="J59" i="9"/>
  <c r="J58" i="9"/>
  <c r="J57" i="9"/>
  <c r="J56" i="9"/>
  <c r="J55" i="9"/>
  <c r="J54" i="9"/>
  <c r="J53" i="9"/>
  <c r="J52" i="9"/>
  <c r="J51" i="9"/>
  <c r="J50" i="9"/>
  <c r="J49" i="9"/>
  <c r="J48" i="9"/>
  <c r="J47" i="9"/>
  <c r="J46" i="9"/>
  <c r="J45" i="9"/>
  <c r="J44" i="9"/>
  <c r="J43" i="9"/>
  <c r="J42" i="9"/>
  <c r="J41" i="9"/>
  <c r="J40" i="9"/>
  <c r="J39" i="9"/>
  <c r="J38" i="9"/>
  <c r="J37" i="9"/>
  <c r="J36" i="9"/>
  <c r="J35" i="9"/>
  <c r="J34" i="9"/>
  <c r="J33" i="9"/>
  <c r="J32" i="9"/>
  <c r="J31" i="9"/>
  <c r="J30" i="9"/>
  <c r="J29" i="9"/>
  <c r="J28" i="9"/>
  <c r="J27" i="9"/>
  <c r="J26" i="9"/>
  <c r="J25" i="9"/>
  <c r="J24" i="9"/>
  <c r="J23" i="9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J3" i="9"/>
  <c r="J2" i="9"/>
  <c r="I69" i="9"/>
  <c r="I68" i="9"/>
  <c r="I67" i="9"/>
  <c r="I66" i="9"/>
  <c r="I65" i="9"/>
  <c r="I64" i="9"/>
  <c r="I63" i="9"/>
  <c r="I62" i="9"/>
  <c r="I61" i="9"/>
  <c r="I60" i="9"/>
  <c r="I59" i="9"/>
  <c r="I58" i="9"/>
  <c r="I57" i="9"/>
  <c r="I56" i="9"/>
  <c r="I55" i="9"/>
  <c r="I54" i="9"/>
  <c r="I53" i="9"/>
  <c r="I52" i="9"/>
  <c r="I51" i="9"/>
  <c r="I50" i="9"/>
  <c r="I49" i="9"/>
  <c r="I48" i="9"/>
  <c r="I47" i="9"/>
  <c r="I46" i="9"/>
  <c r="I45" i="9"/>
  <c r="I44" i="9"/>
  <c r="I43" i="9"/>
  <c r="I42" i="9"/>
  <c r="I41" i="9"/>
  <c r="I40" i="9"/>
  <c r="I39" i="9"/>
  <c r="I38" i="9"/>
  <c r="I37" i="9"/>
  <c r="I36" i="9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3" i="9"/>
  <c r="I4" i="9"/>
  <c r="I5" i="9"/>
  <c r="I6" i="9"/>
  <c r="I7" i="9"/>
  <c r="I8" i="9"/>
  <c r="I9" i="9"/>
  <c r="I2" i="9"/>
  <c r="Y69" i="8"/>
  <c r="Y68" i="8"/>
  <c r="Y67" i="8"/>
  <c r="Y66" i="8"/>
  <c r="Y65" i="8"/>
  <c r="Y64" i="8"/>
  <c r="Y63" i="8"/>
  <c r="Y62" i="8"/>
  <c r="Y61" i="8"/>
  <c r="Y60" i="8"/>
  <c r="Y59" i="8"/>
  <c r="Y58" i="8"/>
  <c r="Y57" i="8"/>
  <c r="Y56" i="8"/>
  <c r="Y55" i="8"/>
  <c r="Y54" i="8"/>
  <c r="Y53" i="8"/>
  <c r="Y52" i="8"/>
  <c r="Y51" i="8"/>
  <c r="Y50" i="8"/>
  <c r="Y49" i="8"/>
  <c r="Y48" i="8"/>
  <c r="Y47" i="8"/>
  <c r="Y46" i="8"/>
  <c r="Y45" i="8"/>
  <c r="Y44" i="8"/>
  <c r="Y43" i="8"/>
  <c r="Y42" i="8"/>
  <c r="Y41" i="8"/>
  <c r="Y40" i="8"/>
  <c r="Y39" i="8"/>
  <c r="Y38" i="8"/>
  <c r="Y37" i="8"/>
  <c r="Y36" i="8"/>
  <c r="Y35" i="8"/>
  <c r="Y34" i="8"/>
  <c r="Y33" i="8"/>
  <c r="Y32" i="8"/>
  <c r="Y31" i="8"/>
  <c r="Y30" i="8"/>
  <c r="Y29" i="8"/>
  <c r="Y28" i="8"/>
  <c r="Y27" i="8"/>
  <c r="Y26" i="8"/>
  <c r="Y25" i="8"/>
  <c r="Y24" i="8"/>
  <c r="Y23" i="8"/>
  <c r="Y22" i="8"/>
  <c r="Y21" i="8"/>
  <c r="Y20" i="8"/>
  <c r="Y19" i="8"/>
  <c r="Y18" i="8"/>
  <c r="Y17" i="8"/>
  <c r="Y16" i="8"/>
  <c r="Y15" i="8"/>
  <c r="Y14" i="8"/>
  <c r="Y13" i="8"/>
  <c r="Y12" i="8"/>
  <c r="Y11" i="8"/>
  <c r="Y10" i="8"/>
  <c r="Y9" i="8"/>
  <c r="Y8" i="8"/>
  <c r="Y7" i="8"/>
  <c r="Y6" i="8"/>
  <c r="Y5" i="8"/>
  <c r="Y4" i="8"/>
  <c r="Y3" i="8"/>
  <c r="Y2" i="8"/>
  <c r="F10" i="10" s="1"/>
  <c r="X69" i="8"/>
  <c r="X68" i="8"/>
  <c r="X67" i="8"/>
  <c r="X66" i="8"/>
  <c r="X65" i="8"/>
  <c r="X64" i="8"/>
  <c r="X63" i="8"/>
  <c r="X62" i="8"/>
  <c r="X61" i="8"/>
  <c r="X60" i="8"/>
  <c r="X59" i="8"/>
  <c r="X58" i="8"/>
  <c r="X57" i="8"/>
  <c r="X56" i="8"/>
  <c r="X55" i="8"/>
  <c r="X54" i="8"/>
  <c r="X53" i="8"/>
  <c r="X52" i="8"/>
  <c r="X51" i="8"/>
  <c r="X50" i="8"/>
  <c r="X49" i="8"/>
  <c r="X48" i="8"/>
  <c r="X47" i="8"/>
  <c r="X46" i="8"/>
  <c r="X45" i="8"/>
  <c r="X44" i="8"/>
  <c r="X43" i="8"/>
  <c r="X42" i="8"/>
  <c r="X41" i="8"/>
  <c r="X40" i="8"/>
  <c r="X39" i="8"/>
  <c r="X38" i="8"/>
  <c r="X37" i="8"/>
  <c r="X36" i="8"/>
  <c r="X35" i="8"/>
  <c r="X34" i="8"/>
  <c r="X33" i="8"/>
  <c r="X32" i="8"/>
  <c r="X31" i="8"/>
  <c r="X30" i="8"/>
  <c r="X29" i="8"/>
  <c r="X28" i="8"/>
  <c r="X27" i="8"/>
  <c r="X26" i="8"/>
  <c r="X25" i="8"/>
  <c r="X24" i="8"/>
  <c r="X23" i="8"/>
  <c r="X22" i="8"/>
  <c r="X21" i="8"/>
  <c r="X20" i="8"/>
  <c r="X19" i="8"/>
  <c r="X18" i="8"/>
  <c r="X17" i="8"/>
  <c r="X16" i="8"/>
  <c r="X15" i="8"/>
  <c r="X14" i="8"/>
  <c r="X13" i="8"/>
  <c r="X12" i="8"/>
  <c r="X11" i="8"/>
  <c r="X10" i="8"/>
  <c r="X9" i="8"/>
  <c r="X8" i="8"/>
  <c r="X7" i="8"/>
  <c r="X6" i="8"/>
  <c r="X5" i="8"/>
  <c r="X4" i="8"/>
  <c r="X3" i="8"/>
  <c r="X2" i="8"/>
  <c r="W69" i="8"/>
  <c r="W68" i="8"/>
  <c r="W67" i="8"/>
  <c r="W66" i="8"/>
  <c r="W65" i="8"/>
  <c r="W64" i="8"/>
  <c r="W63" i="8"/>
  <c r="W62" i="8"/>
  <c r="W61" i="8"/>
  <c r="W60" i="8"/>
  <c r="W59" i="8"/>
  <c r="W58" i="8"/>
  <c r="W57" i="8"/>
  <c r="W56" i="8"/>
  <c r="W55" i="8"/>
  <c r="W54" i="8"/>
  <c r="W53" i="8"/>
  <c r="W52" i="8"/>
  <c r="W51" i="8"/>
  <c r="W50" i="8"/>
  <c r="W49" i="8"/>
  <c r="W48" i="8"/>
  <c r="W47" i="8"/>
  <c r="W46" i="8"/>
  <c r="W45" i="8"/>
  <c r="W44" i="8"/>
  <c r="W43" i="8"/>
  <c r="W42" i="8"/>
  <c r="W41" i="8"/>
  <c r="W40" i="8"/>
  <c r="W39" i="8"/>
  <c r="W38" i="8"/>
  <c r="W37" i="8"/>
  <c r="W36" i="8"/>
  <c r="W35" i="8"/>
  <c r="W34" i="8"/>
  <c r="W33" i="8"/>
  <c r="W32" i="8"/>
  <c r="W31" i="8"/>
  <c r="W30" i="8"/>
  <c r="W29" i="8"/>
  <c r="W28" i="8"/>
  <c r="W27" i="8"/>
  <c r="W26" i="8"/>
  <c r="W25" i="8"/>
  <c r="W24" i="8"/>
  <c r="W23" i="8"/>
  <c r="W22" i="8"/>
  <c r="W21" i="8"/>
  <c r="W20" i="8"/>
  <c r="W19" i="8"/>
  <c r="W18" i="8"/>
  <c r="W17" i="8"/>
  <c r="W16" i="8"/>
  <c r="W15" i="8"/>
  <c r="W14" i="8"/>
  <c r="W13" i="8"/>
  <c r="W12" i="8"/>
  <c r="W11" i="8"/>
  <c r="W10" i="8"/>
  <c r="W9" i="8"/>
  <c r="W8" i="8"/>
  <c r="W7" i="8"/>
  <c r="W6" i="8"/>
  <c r="W5" i="8"/>
  <c r="W4" i="8"/>
  <c r="W3" i="8"/>
  <c r="W2" i="8"/>
  <c r="V69" i="8"/>
  <c r="V68" i="8"/>
  <c r="V67" i="8"/>
  <c r="V66" i="8"/>
  <c r="V65" i="8"/>
  <c r="V64" i="8"/>
  <c r="V63" i="8"/>
  <c r="V62" i="8"/>
  <c r="V61" i="8"/>
  <c r="V60" i="8"/>
  <c r="V59" i="8"/>
  <c r="V58" i="8"/>
  <c r="V57" i="8"/>
  <c r="V56" i="8"/>
  <c r="V55" i="8"/>
  <c r="V54" i="8"/>
  <c r="V53" i="8"/>
  <c r="V52" i="8"/>
  <c r="V51" i="8"/>
  <c r="V50" i="8"/>
  <c r="V49" i="8"/>
  <c r="V48" i="8"/>
  <c r="V47" i="8"/>
  <c r="V46" i="8"/>
  <c r="V45" i="8"/>
  <c r="V44" i="8"/>
  <c r="V43" i="8"/>
  <c r="V42" i="8"/>
  <c r="V41" i="8"/>
  <c r="V40" i="8"/>
  <c r="V39" i="8"/>
  <c r="V38" i="8"/>
  <c r="V37" i="8"/>
  <c r="V36" i="8"/>
  <c r="V35" i="8"/>
  <c r="V34" i="8"/>
  <c r="V33" i="8"/>
  <c r="V32" i="8"/>
  <c r="V31" i="8"/>
  <c r="V30" i="8"/>
  <c r="V29" i="8"/>
  <c r="V28" i="8"/>
  <c r="V27" i="8"/>
  <c r="V26" i="8"/>
  <c r="V25" i="8"/>
  <c r="V24" i="8"/>
  <c r="V23" i="8"/>
  <c r="V22" i="8"/>
  <c r="V21" i="8"/>
  <c r="V20" i="8"/>
  <c r="V19" i="8"/>
  <c r="V18" i="8"/>
  <c r="V17" i="8"/>
  <c r="V16" i="8"/>
  <c r="V15" i="8"/>
  <c r="V14" i="8"/>
  <c r="V13" i="8"/>
  <c r="V12" i="8"/>
  <c r="V11" i="8"/>
  <c r="V10" i="8"/>
  <c r="V9" i="8"/>
  <c r="V8" i="8"/>
  <c r="V7" i="8"/>
  <c r="V6" i="8"/>
  <c r="V5" i="8"/>
  <c r="V4" i="8"/>
  <c r="V3" i="8"/>
  <c r="V2" i="8"/>
  <c r="X70" i="9" l="1"/>
  <c r="E13" i="10" s="1"/>
  <c r="K70" i="9"/>
  <c r="D11" i="10" s="1"/>
  <c r="P70" i="9"/>
  <c r="C12" i="10" s="1"/>
  <c r="L70" i="9"/>
  <c r="E11" i="10" s="1"/>
  <c r="Q70" i="9"/>
  <c r="D12" i="10" s="1"/>
  <c r="S70" i="9"/>
  <c r="F12" i="10" s="1"/>
  <c r="W70" i="9"/>
  <c r="D13" i="10" s="1"/>
  <c r="Y70" i="9"/>
  <c r="F13" i="10" s="1"/>
  <c r="R70" i="9"/>
  <c r="E12" i="10" s="1"/>
  <c r="J70" i="9"/>
  <c r="C11" i="10" s="1"/>
  <c r="M70" i="9"/>
  <c r="F11" i="10" s="1"/>
  <c r="V70" i="9"/>
  <c r="C13" i="10" s="1"/>
  <c r="U70" i="9"/>
  <c r="B13" i="10" s="1"/>
  <c r="O70" i="9"/>
  <c r="B12" i="10" s="1"/>
  <c r="I70" i="9"/>
  <c r="B11" i="10" s="1"/>
  <c r="X70" i="8"/>
  <c r="E10" i="10" s="1"/>
  <c r="V70" i="8"/>
  <c r="C10" i="10" s="1"/>
  <c r="W70" i="8"/>
  <c r="D10" i="10" s="1"/>
  <c r="U69" i="8"/>
  <c r="U68" i="8"/>
  <c r="U67" i="8"/>
  <c r="U66" i="8"/>
  <c r="U65" i="8"/>
  <c r="U64" i="8"/>
  <c r="U63" i="8"/>
  <c r="U62" i="8"/>
  <c r="U61" i="8"/>
  <c r="U60" i="8"/>
  <c r="U59" i="8"/>
  <c r="U58" i="8"/>
  <c r="U57" i="8"/>
  <c r="U56" i="8"/>
  <c r="U55" i="8"/>
  <c r="U54" i="8"/>
  <c r="U53" i="8"/>
  <c r="U52" i="8"/>
  <c r="U51" i="8"/>
  <c r="U50" i="8"/>
  <c r="U49" i="8"/>
  <c r="U48" i="8"/>
  <c r="U47" i="8"/>
  <c r="U46" i="8"/>
  <c r="U45" i="8"/>
  <c r="U44" i="8"/>
  <c r="U43" i="8"/>
  <c r="U42" i="8"/>
  <c r="U41" i="8"/>
  <c r="U40" i="8"/>
  <c r="U39" i="8"/>
  <c r="U38" i="8"/>
  <c r="U37" i="8"/>
  <c r="U36" i="8"/>
  <c r="U35" i="8"/>
  <c r="U34" i="8"/>
  <c r="U33" i="8"/>
  <c r="U32" i="8"/>
  <c r="U31" i="8"/>
  <c r="U30" i="8"/>
  <c r="U29" i="8"/>
  <c r="U28" i="8"/>
  <c r="U27" i="8"/>
  <c r="U26" i="8"/>
  <c r="U25" i="8"/>
  <c r="U24" i="8"/>
  <c r="U23" i="8"/>
  <c r="U22" i="8"/>
  <c r="U21" i="8"/>
  <c r="U20" i="8"/>
  <c r="U19" i="8"/>
  <c r="U18" i="8"/>
  <c r="U17" i="8"/>
  <c r="U16" i="8"/>
  <c r="U15" i="8"/>
  <c r="U14" i="8"/>
  <c r="U13" i="8"/>
  <c r="U12" i="8"/>
  <c r="U11" i="8"/>
  <c r="U10" i="8"/>
  <c r="U3" i="8"/>
  <c r="U4" i="8"/>
  <c r="U5" i="8"/>
  <c r="U6" i="8"/>
  <c r="U7" i="8"/>
  <c r="U8" i="8"/>
  <c r="U9" i="8"/>
  <c r="U2" i="8"/>
  <c r="U70" i="8" l="1"/>
  <c r="B10" i="10" s="1"/>
  <c r="S69" i="8"/>
  <c r="S68" i="8"/>
  <c r="S67" i="8"/>
  <c r="S66" i="8"/>
  <c r="S65" i="8"/>
  <c r="S64" i="8"/>
  <c r="S63" i="8"/>
  <c r="S62" i="8"/>
  <c r="S61" i="8"/>
  <c r="S60" i="8"/>
  <c r="S59" i="8"/>
  <c r="S58" i="8"/>
  <c r="S57" i="8"/>
  <c r="S56" i="8"/>
  <c r="S55" i="8"/>
  <c r="S54" i="8"/>
  <c r="S53" i="8"/>
  <c r="S52" i="8"/>
  <c r="S51" i="8"/>
  <c r="S50" i="8"/>
  <c r="S49" i="8"/>
  <c r="S48" i="8"/>
  <c r="S47" i="8"/>
  <c r="S46" i="8"/>
  <c r="S45" i="8"/>
  <c r="S44" i="8"/>
  <c r="S43" i="8"/>
  <c r="S42" i="8"/>
  <c r="S41" i="8"/>
  <c r="S40" i="8"/>
  <c r="S39" i="8"/>
  <c r="S38" i="8"/>
  <c r="S37" i="8"/>
  <c r="S36" i="8"/>
  <c r="S35" i="8"/>
  <c r="S34" i="8"/>
  <c r="S33" i="8"/>
  <c r="S32" i="8"/>
  <c r="S31" i="8"/>
  <c r="S30" i="8"/>
  <c r="S29" i="8"/>
  <c r="S28" i="8"/>
  <c r="S27" i="8"/>
  <c r="S26" i="8"/>
  <c r="S25" i="8"/>
  <c r="S24" i="8"/>
  <c r="S23" i="8"/>
  <c r="S22" i="8"/>
  <c r="S21" i="8"/>
  <c r="S20" i="8"/>
  <c r="S19" i="8"/>
  <c r="S18" i="8"/>
  <c r="S17" i="8"/>
  <c r="S16" i="8"/>
  <c r="S15" i="8"/>
  <c r="S14" i="8"/>
  <c r="S13" i="8"/>
  <c r="S12" i="8"/>
  <c r="S11" i="8"/>
  <c r="S10" i="8"/>
  <c r="S9" i="8"/>
  <c r="S8" i="8"/>
  <c r="S7" i="8"/>
  <c r="S6" i="8"/>
  <c r="S5" i="8"/>
  <c r="S4" i="8"/>
  <c r="S3" i="8"/>
  <c r="S2" i="8"/>
  <c r="R69" i="8"/>
  <c r="R68" i="8"/>
  <c r="R67" i="8"/>
  <c r="R66" i="8"/>
  <c r="R65" i="8"/>
  <c r="R64" i="8"/>
  <c r="R63" i="8"/>
  <c r="R62" i="8"/>
  <c r="R61" i="8"/>
  <c r="R60" i="8"/>
  <c r="R59" i="8"/>
  <c r="R58" i="8"/>
  <c r="R57" i="8"/>
  <c r="R56" i="8"/>
  <c r="R55" i="8"/>
  <c r="R54" i="8"/>
  <c r="R53" i="8"/>
  <c r="R52" i="8"/>
  <c r="R51" i="8"/>
  <c r="R50" i="8"/>
  <c r="R49" i="8"/>
  <c r="R48" i="8"/>
  <c r="R47" i="8"/>
  <c r="R46" i="8"/>
  <c r="R45" i="8"/>
  <c r="R44" i="8"/>
  <c r="R43" i="8"/>
  <c r="R42" i="8"/>
  <c r="R41" i="8"/>
  <c r="R40" i="8"/>
  <c r="R39" i="8"/>
  <c r="R38" i="8"/>
  <c r="R37" i="8"/>
  <c r="R36" i="8"/>
  <c r="R35" i="8"/>
  <c r="R34" i="8"/>
  <c r="R33" i="8"/>
  <c r="R32" i="8"/>
  <c r="R31" i="8"/>
  <c r="R30" i="8"/>
  <c r="R29" i="8"/>
  <c r="R28" i="8"/>
  <c r="R27" i="8"/>
  <c r="R26" i="8"/>
  <c r="R25" i="8"/>
  <c r="R24" i="8"/>
  <c r="R23" i="8"/>
  <c r="R22" i="8"/>
  <c r="R21" i="8"/>
  <c r="R20" i="8"/>
  <c r="R19" i="8"/>
  <c r="R18" i="8"/>
  <c r="R17" i="8"/>
  <c r="R16" i="8"/>
  <c r="R15" i="8"/>
  <c r="R14" i="8"/>
  <c r="R13" i="8"/>
  <c r="R12" i="8"/>
  <c r="R11" i="8"/>
  <c r="R10" i="8"/>
  <c r="R9" i="8"/>
  <c r="R8" i="8"/>
  <c r="R7" i="8"/>
  <c r="R6" i="8"/>
  <c r="R5" i="8"/>
  <c r="R4" i="8"/>
  <c r="R3" i="8"/>
  <c r="R2" i="8"/>
  <c r="R70" i="8" l="1"/>
  <c r="Q69" i="8"/>
  <c r="Q68" i="8"/>
  <c r="Q67" i="8"/>
  <c r="Q66" i="8"/>
  <c r="Q65" i="8"/>
  <c r="Q64" i="8"/>
  <c r="Q63" i="8"/>
  <c r="Q62" i="8"/>
  <c r="Q61" i="8"/>
  <c r="Q60" i="8"/>
  <c r="Q59" i="8"/>
  <c r="Q58" i="8"/>
  <c r="Q57" i="8"/>
  <c r="Q56" i="8"/>
  <c r="Q55" i="8"/>
  <c r="Q54" i="8"/>
  <c r="Q53" i="8"/>
  <c r="Q52" i="8"/>
  <c r="Q51" i="8"/>
  <c r="Q50" i="8"/>
  <c r="Q49" i="8"/>
  <c r="Q48" i="8"/>
  <c r="Q47" i="8"/>
  <c r="Q46" i="8"/>
  <c r="Q45" i="8"/>
  <c r="Q44" i="8"/>
  <c r="Q43" i="8"/>
  <c r="Q42" i="8"/>
  <c r="Q41" i="8"/>
  <c r="Q40" i="8"/>
  <c r="Q39" i="8"/>
  <c r="Q38" i="8"/>
  <c r="Q37" i="8"/>
  <c r="Q36" i="8"/>
  <c r="Q35" i="8"/>
  <c r="Q34" i="8"/>
  <c r="Q33" i="8"/>
  <c r="Q32" i="8"/>
  <c r="Q31" i="8"/>
  <c r="Q30" i="8"/>
  <c r="Q29" i="8"/>
  <c r="Q28" i="8"/>
  <c r="Q27" i="8"/>
  <c r="Q26" i="8"/>
  <c r="Q25" i="8"/>
  <c r="Q24" i="8"/>
  <c r="Q23" i="8"/>
  <c r="Q22" i="8"/>
  <c r="Q21" i="8"/>
  <c r="Q20" i="8"/>
  <c r="Q19" i="8"/>
  <c r="Q18" i="8"/>
  <c r="Q17" i="8"/>
  <c r="Q16" i="8"/>
  <c r="Q15" i="8"/>
  <c r="Q14" i="8"/>
  <c r="Q13" i="8"/>
  <c r="Q12" i="8"/>
  <c r="Q11" i="8"/>
  <c r="Q10" i="8"/>
  <c r="Q9" i="8"/>
  <c r="Q8" i="8"/>
  <c r="Q7" i="8"/>
  <c r="Q6" i="8"/>
  <c r="Q5" i="8"/>
  <c r="Q4" i="8"/>
  <c r="Q3" i="8"/>
  <c r="Q2" i="8"/>
  <c r="Q70" i="8" l="1"/>
  <c r="D9" i="10" s="1"/>
  <c r="P69" i="8"/>
  <c r="P68" i="8"/>
  <c r="P67" i="8"/>
  <c r="P66" i="8"/>
  <c r="P65" i="8"/>
  <c r="P64" i="8"/>
  <c r="P63" i="8"/>
  <c r="P62" i="8"/>
  <c r="P61" i="8"/>
  <c r="P60" i="8"/>
  <c r="P59" i="8"/>
  <c r="P58" i="8"/>
  <c r="P57" i="8"/>
  <c r="P56" i="8"/>
  <c r="P55" i="8"/>
  <c r="P54" i="8"/>
  <c r="P53" i="8"/>
  <c r="P52" i="8"/>
  <c r="P51" i="8"/>
  <c r="P50" i="8"/>
  <c r="P49" i="8"/>
  <c r="P48" i="8"/>
  <c r="P47" i="8"/>
  <c r="P46" i="8"/>
  <c r="P45" i="8"/>
  <c r="P44" i="8"/>
  <c r="P43" i="8"/>
  <c r="P42" i="8"/>
  <c r="P41" i="8"/>
  <c r="P40" i="8"/>
  <c r="P39" i="8"/>
  <c r="P38" i="8"/>
  <c r="P37" i="8"/>
  <c r="P36" i="8"/>
  <c r="P35" i="8"/>
  <c r="P34" i="8"/>
  <c r="P33" i="8"/>
  <c r="P32" i="8"/>
  <c r="P31" i="8"/>
  <c r="P30" i="8"/>
  <c r="P29" i="8"/>
  <c r="P28" i="8"/>
  <c r="P27" i="8"/>
  <c r="P26" i="8"/>
  <c r="P25" i="8"/>
  <c r="P24" i="8"/>
  <c r="P23" i="8"/>
  <c r="P22" i="8"/>
  <c r="P21" i="8"/>
  <c r="P20" i="8"/>
  <c r="P19" i="8"/>
  <c r="P18" i="8"/>
  <c r="P17" i="8"/>
  <c r="P16" i="8"/>
  <c r="P15" i="8"/>
  <c r="P14" i="8"/>
  <c r="P13" i="8"/>
  <c r="P12" i="8"/>
  <c r="P11" i="8"/>
  <c r="P10" i="8"/>
  <c r="P9" i="8"/>
  <c r="P8" i="8"/>
  <c r="P7" i="8"/>
  <c r="P6" i="8"/>
  <c r="P5" i="8"/>
  <c r="P4" i="8"/>
  <c r="P3" i="8"/>
  <c r="P2" i="8"/>
  <c r="E9" i="10"/>
  <c r="F9" i="10"/>
  <c r="P70" i="8" l="1"/>
  <c r="C9" i="10" s="1"/>
  <c r="O69" i="8"/>
  <c r="O68" i="8"/>
  <c r="O67" i="8"/>
  <c r="O66" i="8"/>
  <c r="O65" i="8"/>
  <c r="O64" i="8"/>
  <c r="O63" i="8"/>
  <c r="O62" i="8"/>
  <c r="O61" i="8"/>
  <c r="O60" i="8"/>
  <c r="O59" i="8"/>
  <c r="O58" i="8"/>
  <c r="O57" i="8"/>
  <c r="O56" i="8"/>
  <c r="O55" i="8"/>
  <c r="O54" i="8"/>
  <c r="O53" i="8"/>
  <c r="O52" i="8"/>
  <c r="O51" i="8"/>
  <c r="O50" i="8"/>
  <c r="O49" i="8"/>
  <c r="O48" i="8"/>
  <c r="O47" i="8"/>
  <c r="O46" i="8"/>
  <c r="O45" i="8"/>
  <c r="O44" i="8"/>
  <c r="O43" i="8"/>
  <c r="O42" i="8"/>
  <c r="O41" i="8"/>
  <c r="O40" i="8"/>
  <c r="O39" i="8"/>
  <c r="O38" i="8"/>
  <c r="O37" i="8"/>
  <c r="O36" i="8"/>
  <c r="O35" i="8"/>
  <c r="O34" i="8"/>
  <c r="O33" i="8"/>
  <c r="O32" i="8"/>
  <c r="O31" i="8"/>
  <c r="O30" i="8"/>
  <c r="O29" i="8"/>
  <c r="O28" i="8"/>
  <c r="O27" i="8"/>
  <c r="O26" i="8"/>
  <c r="O25" i="8"/>
  <c r="O24" i="8"/>
  <c r="O23" i="8"/>
  <c r="O22" i="8"/>
  <c r="O21" i="8"/>
  <c r="O20" i="8"/>
  <c r="O19" i="8"/>
  <c r="O18" i="8"/>
  <c r="O17" i="8"/>
  <c r="O16" i="8"/>
  <c r="O15" i="8"/>
  <c r="O14" i="8"/>
  <c r="O13" i="8"/>
  <c r="O12" i="8"/>
  <c r="O11" i="8"/>
  <c r="O10" i="8"/>
  <c r="O3" i="8"/>
  <c r="O4" i="8"/>
  <c r="O5" i="8"/>
  <c r="O6" i="8"/>
  <c r="O7" i="8"/>
  <c r="O8" i="8"/>
  <c r="O9" i="8"/>
  <c r="O2" i="8"/>
  <c r="O70" i="8" l="1"/>
  <c r="B9" i="10" s="1"/>
  <c r="M69" i="8" l="1"/>
  <c r="M68" i="8"/>
  <c r="M67" i="8"/>
  <c r="M66" i="8"/>
  <c r="M65" i="8"/>
  <c r="M64" i="8"/>
  <c r="M63" i="8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M2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L2" i="8"/>
  <c r="K69" i="8"/>
  <c r="K68" i="8"/>
  <c r="K67" i="8"/>
  <c r="K66" i="8"/>
  <c r="K65" i="8"/>
  <c r="K64" i="8"/>
  <c r="K63" i="8"/>
  <c r="K62" i="8"/>
  <c r="K61" i="8"/>
  <c r="K60" i="8"/>
  <c r="K59" i="8"/>
  <c r="K58" i="8"/>
  <c r="K57" i="8"/>
  <c r="K56" i="8"/>
  <c r="K55" i="8"/>
  <c r="K54" i="8"/>
  <c r="K53" i="8"/>
  <c r="K52" i="8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37" i="8"/>
  <c r="J36" i="8"/>
  <c r="J35" i="8"/>
  <c r="J23" i="8"/>
  <c r="J24" i="8"/>
  <c r="J25" i="8"/>
  <c r="J26" i="8"/>
  <c r="J27" i="8"/>
  <c r="J28" i="8"/>
  <c r="J29" i="8"/>
  <c r="J30" i="8"/>
  <c r="J31" i="8"/>
  <c r="J32" i="8"/>
  <c r="J33" i="8"/>
  <c r="J34" i="8"/>
  <c r="J22" i="8"/>
  <c r="J12" i="8"/>
  <c r="J13" i="8"/>
  <c r="J14" i="8"/>
  <c r="J15" i="8"/>
  <c r="J16" i="8"/>
  <c r="J17" i="8"/>
  <c r="J18" i="8"/>
  <c r="J19" i="8"/>
  <c r="J20" i="8"/>
  <c r="J21" i="8"/>
  <c r="J11" i="8"/>
  <c r="J10" i="8"/>
  <c r="L70" i="8" l="1"/>
  <c r="K70" i="8"/>
  <c r="C25" i="1"/>
  <c r="J63" i="8" l="1"/>
  <c r="J66" i="8"/>
  <c r="J67" i="8"/>
  <c r="J68" i="8"/>
  <c r="J69" i="8"/>
  <c r="J65" i="8"/>
  <c r="J61" i="8"/>
  <c r="J62" i="8"/>
  <c r="J64" i="8"/>
  <c r="J60" i="8"/>
  <c r="J56" i="8"/>
  <c r="J57" i="8"/>
  <c r="J58" i="8"/>
  <c r="J59" i="8"/>
  <c r="J55" i="8"/>
  <c r="J52" i="8"/>
  <c r="J53" i="8"/>
  <c r="J54" i="8"/>
  <c r="J51" i="8"/>
  <c r="J9" i="8" l="1"/>
  <c r="J8" i="8"/>
  <c r="J7" i="8"/>
  <c r="J6" i="8"/>
  <c r="J5" i="8"/>
  <c r="J4" i="8"/>
  <c r="J3" i="8"/>
  <c r="J2" i="8"/>
  <c r="D8" i="10"/>
  <c r="E8" i="10"/>
  <c r="I66" i="8"/>
  <c r="I67" i="8"/>
  <c r="I68" i="8"/>
  <c r="I69" i="8"/>
  <c r="I65" i="8"/>
  <c r="I61" i="8"/>
  <c r="I62" i="8"/>
  <c r="I63" i="8"/>
  <c r="I64" i="8"/>
  <c r="I60" i="8"/>
  <c r="I56" i="8"/>
  <c r="I57" i="8"/>
  <c r="I58" i="8"/>
  <c r="I59" i="8"/>
  <c r="I55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37" i="8"/>
  <c r="I36" i="8"/>
  <c r="I35" i="8"/>
  <c r="I23" i="8"/>
  <c r="I24" i="8"/>
  <c r="I25" i="8"/>
  <c r="I26" i="8"/>
  <c r="I27" i="8"/>
  <c r="I28" i="8"/>
  <c r="I29" i="8"/>
  <c r="I30" i="8"/>
  <c r="I31" i="8"/>
  <c r="I32" i="8"/>
  <c r="I33" i="8"/>
  <c r="I34" i="8"/>
  <c r="I22" i="8"/>
  <c r="I12" i="8"/>
  <c r="I13" i="8"/>
  <c r="I14" i="8"/>
  <c r="I15" i="8"/>
  <c r="I16" i="8"/>
  <c r="I17" i="8"/>
  <c r="I18" i="8"/>
  <c r="I19" i="8"/>
  <c r="I20" i="8"/>
  <c r="I21" i="8"/>
  <c r="I11" i="8"/>
  <c r="I10" i="8"/>
  <c r="I3" i="8"/>
  <c r="I4" i="8"/>
  <c r="I5" i="8"/>
  <c r="I6" i="8"/>
  <c r="I7" i="8"/>
  <c r="I8" i="8"/>
  <c r="I9" i="8"/>
  <c r="J70" i="8" l="1"/>
  <c r="C8" i="10" s="1"/>
  <c r="I2" i="8"/>
  <c r="I70" i="8" s="1"/>
  <c r="B8" i="10" s="1"/>
  <c r="F6" i="10" l="1"/>
  <c r="E6" i="10"/>
  <c r="D6" i="10"/>
  <c r="C6" i="10"/>
  <c r="B6" i="10"/>
  <c r="E5" i="10"/>
  <c r="D5" i="10"/>
  <c r="C5" i="10"/>
  <c r="B5" i="10"/>
  <c r="G36" i="1"/>
  <c r="F36" i="1"/>
  <c r="E36" i="1"/>
  <c r="D36" i="1"/>
  <c r="C36" i="1"/>
  <c r="G31" i="1"/>
  <c r="F31" i="1"/>
  <c r="E31" i="1"/>
  <c r="D31" i="1"/>
  <c r="C31" i="1"/>
  <c r="G26" i="1"/>
  <c r="F26" i="1"/>
  <c r="E26" i="1"/>
  <c r="D26" i="1"/>
  <c r="C26" i="1"/>
  <c r="G21" i="1"/>
  <c r="F21" i="1"/>
  <c r="E21" i="1"/>
  <c r="D21" i="1"/>
  <c r="C21" i="1"/>
  <c r="G16" i="1"/>
  <c r="F16" i="1"/>
  <c r="E16" i="1"/>
  <c r="D16" i="1"/>
  <c r="C16" i="1"/>
  <c r="G11" i="1"/>
  <c r="F11" i="1"/>
  <c r="E11" i="1"/>
  <c r="D11" i="1"/>
  <c r="C11" i="1"/>
  <c r="G6" i="1"/>
  <c r="F6" i="1"/>
  <c r="E6" i="1"/>
  <c r="D6" i="1"/>
  <c r="C6" i="1"/>
  <c r="G35" i="1"/>
  <c r="F35" i="1"/>
  <c r="E35" i="1"/>
  <c r="D35" i="1"/>
  <c r="C35" i="1"/>
  <c r="F30" i="1"/>
  <c r="E30" i="1"/>
  <c r="D30" i="1"/>
  <c r="C30" i="1"/>
  <c r="F25" i="1"/>
  <c r="E25" i="1"/>
  <c r="D25" i="1"/>
  <c r="G20" i="1"/>
  <c r="F20" i="1"/>
  <c r="E20" i="1"/>
  <c r="D20" i="1"/>
  <c r="C20" i="1"/>
  <c r="G15" i="1"/>
  <c r="F15" i="1"/>
  <c r="E15" i="1"/>
  <c r="D15" i="1"/>
  <c r="C15" i="1"/>
  <c r="G10" i="1"/>
  <c r="F10" i="1"/>
  <c r="E10" i="1"/>
  <c r="D10" i="1"/>
  <c r="C10" i="1"/>
  <c r="G5" i="1"/>
  <c r="F5" i="1"/>
  <c r="E5" i="1"/>
  <c r="D5" i="1"/>
  <c r="C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369B5AA-94EC-4B3F-A0AA-CA39E406D0A0}" keepAlive="1" name="Query - LSP_All" description="Connection to the 'LSP_All' query in the workbook." type="5" refreshedVersion="8" background="1" saveData="1">
    <dbPr connection="Provider=Microsoft.Mashup.OleDb.1;Data Source=$Workbook$;Location=LSP_All;Extended Properties=&quot;&quot;" command="SELECT * FROM [LSP_All]"/>
  </connection>
  <connection id="2" xr16:uid="{3DC81770-9B3B-438D-A33F-DF266A5661FA}" keepAlive="1" name="Query - NFFT_All" description="Connection to the 'NFFT_All' query in the workbook." type="5" refreshedVersion="8" background="1" saveData="1">
    <dbPr connection="Provider=Microsoft.Mashup.OleDb.1;Data Source=$Workbook$;Location=NFFT_All;Extended Properties=&quot;&quot;" command="SELECT * FROM [NFFT_All]"/>
  </connection>
  <connection id="3" xr16:uid="{17271B3A-C1F5-430E-8F91-5CA5166D24F0}" keepAlive="1" name="Query - statistics-M4" description="Connection to the 'statistics-M4' query in the workbook." type="5" refreshedVersion="8" background="1" saveData="1">
    <dbPr connection="Provider=Microsoft.Mashup.OleDb.1;Data Source=$Workbook$;Location=statistics-M4;Extended Properties=&quot;&quot;" command="SELECT * FROM [statistics-M4]"/>
  </connection>
  <connection id="4" xr16:uid="{9BBA20D5-470D-4DCC-93CC-99AAA5C6F5F5}" keepAlive="1" name="Query - statistics-M5" description="Connection to the 'statistics-M5' query in the workbook." type="5" refreshedVersion="8" background="1" saveData="1">
    <dbPr connection="Provider=Microsoft.Mashup.OleDb.1;Data Source=$Workbook$;Location=statistics-M5;Extended Properties=&quot;&quot;" command="SELECT * FROM [statistics-M5]"/>
  </connection>
  <connection id="5" xr16:uid="{643E5AD9-3CB6-4F8C-A257-F0A431E86E5A}" keepAlive="1" name="Query - statistics-M6" description="Connection to the 'statistics-M6' query in the workbook." type="5" refreshedVersion="8" background="1" saveData="1">
    <dbPr connection="Provider=Microsoft.Mashup.OleDb.1;Data Source=$Workbook$;Location=statistics-M6;Extended Properties=&quot;&quot;" command="SELECT * FROM [statistics-M6]"/>
  </connection>
  <connection id="6" xr16:uid="{E0FB463E-4132-4807-BA2C-C08CE04C41D7}" keepAlive="1" name="Query - statistics-M7" description="Connection to the 'statistics-M7' query in the workbook." type="5" refreshedVersion="8" background="1" saveData="1">
    <dbPr connection="Provider=Microsoft.Mashup.OleDb.1;Data Source=$Workbook$;Location=statistics-M7;Extended Properties=&quot;&quot;" command="SELECT * FROM [statistics-M7]"/>
  </connection>
  <connection id="7" xr16:uid="{56A1787E-4A98-439F-811F-35385780C126}" keepAlive="1" name="Query - statistics-M8" description="Connection to the 'statistics-M8' query in the workbook." type="5" refreshedVersion="8" background="1" saveData="1">
    <dbPr connection="Provider=Microsoft.Mashup.OleDb.1;Data Source=$Workbook$;Location=statistics-M8;Extended Properties=&quot;&quot;" command="SELECT * FROM [statistics-M8]"/>
  </connection>
</connections>
</file>

<file path=xl/sharedStrings.xml><?xml version="1.0" encoding="utf-8"?>
<sst xmlns="http://schemas.openxmlformats.org/spreadsheetml/2006/main" count="766" uniqueCount="100">
  <si>
    <t>country</t>
  </si>
  <si>
    <t>cluster_id</t>
  </si>
  <si>
    <t>return_P</t>
  </si>
  <si>
    <t>total_earthquakes</t>
  </si>
  <si>
    <t>exact_mode</t>
  </si>
  <si>
    <t>mean_gap</t>
  </si>
  <si>
    <t>median_gap</t>
  </si>
  <si>
    <t>NFFT</t>
  </si>
  <si>
    <t>LSP</t>
  </si>
  <si>
    <t>Japan</t>
  </si>
  <si>
    <t>Papua New Guinea</t>
  </si>
  <si>
    <t>Philippines</t>
  </si>
  <si>
    <t>Tonga</t>
  </si>
  <si>
    <t>USA</t>
  </si>
  <si>
    <t>Mexico</t>
  </si>
  <si>
    <t>Canada</t>
  </si>
  <si>
    <t>Guatemala</t>
  </si>
  <si>
    <t>Russia</t>
  </si>
  <si>
    <t>China</t>
  </si>
  <si>
    <t>India</t>
  </si>
  <si>
    <t>Iran</t>
  </si>
  <si>
    <t>Nicaragua</t>
  </si>
  <si>
    <t>El Salvador</t>
  </si>
  <si>
    <t>Costa Rica</t>
  </si>
  <si>
    <t>Dominican</t>
  </si>
  <si>
    <t>Chile</t>
  </si>
  <si>
    <t>Argentina</t>
  </si>
  <si>
    <t>Peru</t>
  </si>
  <si>
    <t>Colombia</t>
  </si>
  <si>
    <t>Indonesia</t>
  </si>
  <si>
    <t>Timor Leste</t>
  </si>
  <si>
    <t>Australia</t>
  </si>
  <si>
    <t>New Zealand</t>
  </si>
  <si>
    <t>AVG</t>
  </si>
  <si>
    <t>Algeria</t>
  </si>
  <si>
    <t>Somalia</t>
  </si>
  <si>
    <t>South Africa</t>
  </si>
  <si>
    <t>Saint Helena</t>
  </si>
  <si>
    <t>total_gaps</t>
  </si>
  <si>
    <t>min_gap</t>
  </si>
  <si>
    <t>max_gap</t>
  </si>
  <si>
    <t>std_gap</t>
  </si>
  <si>
    <t>Pacific Plate</t>
  </si>
  <si>
    <t>M4+</t>
  </si>
  <si>
    <t>M5+</t>
  </si>
  <si>
    <t>M6+</t>
  </si>
  <si>
    <t>M7+</t>
  </si>
  <si>
    <t>M8+</t>
  </si>
  <si>
    <t>statistical mean</t>
  </si>
  <si>
    <t>statistical mode</t>
  </si>
  <si>
    <t>statistical median</t>
  </si>
  <si>
    <t>North American Plate</t>
  </si>
  <si>
    <t>Eurasian Plate</t>
  </si>
  <si>
    <t>Caribbean Plate</t>
  </si>
  <si>
    <t>South American Plate</t>
  </si>
  <si>
    <t>Indo-Australian Plate</t>
  </si>
  <si>
    <t>African Plate</t>
  </si>
  <si>
    <t/>
  </si>
  <si>
    <t xml:space="preserve"> </t>
  </si>
  <si>
    <t>Alignment Test</t>
  </si>
  <si>
    <t>Average Difference by Country (Yrs)</t>
  </si>
  <si>
    <t>| NFFT - mean |</t>
  </si>
  <si>
    <t>| NFFT - mode |</t>
  </si>
  <si>
    <t>| NFFT - median |</t>
  </si>
  <si>
    <t>| LSP – mean |</t>
  </si>
  <si>
    <t>| LSP – mode |</t>
  </si>
  <si>
    <t>| LSP – median |</t>
  </si>
  <si>
    <t>M4-NFFT-mean</t>
  </si>
  <si>
    <t>M8-NFFT-mean</t>
  </si>
  <si>
    <t>M5-NFFT-mean</t>
  </si>
  <si>
    <t>M6-NFFT-mean</t>
  </si>
  <si>
    <t>M7-NFFT-mean</t>
  </si>
  <si>
    <t>M4-NFFT-mode</t>
  </si>
  <si>
    <t>M5-NFFT-mode</t>
  </si>
  <si>
    <t>M6-NFFT-mode</t>
  </si>
  <si>
    <t>M7-NFFT-mode</t>
  </si>
  <si>
    <t>M8-NFFT-mode</t>
  </si>
  <si>
    <t>M4-NFFT-med</t>
  </si>
  <si>
    <t>M5-NFFT-med</t>
  </si>
  <si>
    <t>M6-NFFT-med</t>
  </si>
  <si>
    <t>M7-NFFT-med</t>
  </si>
  <si>
    <t>M8-NFFT-med</t>
  </si>
  <si>
    <t>M4-LSP-mean</t>
  </si>
  <si>
    <t>M5-LSP-mean</t>
  </si>
  <si>
    <t>M6-LSP-mean</t>
  </si>
  <si>
    <t>M7-LSP-mean</t>
  </si>
  <si>
    <t>M8-LSP-mean</t>
  </si>
  <si>
    <t>M4-LSP-mode</t>
  </si>
  <si>
    <t>M5-LSP-mode</t>
  </si>
  <si>
    <t>M6-LSP-mode</t>
  </si>
  <si>
    <t>M7-LSP-mode</t>
  </si>
  <si>
    <t>M8-LSP-mode</t>
  </si>
  <si>
    <t>M4-LSP-med</t>
  </si>
  <si>
    <t>M5-LSP-med</t>
  </si>
  <si>
    <t>M6-LSP-med</t>
  </si>
  <si>
    <t>M7-LSP-med</t>
  </si>
  <si>
    <t>M8-LSP-med</t>
  </si>
  <si>
    <t>24.245</t>
  </si>
  <si>
    <t>25.177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</si>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</sst>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33" borderId="0" xfId="0" applyFill="1" applyAlignment="1">
      <alignment horizontal="center"/>
    </xf>
    <xf numFmtId="164" fontId="0" fillId="0" borderId="0" xfId="0" applyNumberFormat="1"/>
    <xf numFmtId="164" fontId="14" fillId="0" borderId="0" xfId="0" applyNumberFormat="1" applyFont="1"/>
    <xf numFmtId="164" fontId="14" fillId="34" borderId="0" xfId="0" applyNumberFormat="1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C4B8B97-46B6-4DAB-B56B-1DA04827DD5D}" autoFormatId="16" applyNumberFormats="0" applyBorderFormats="0" applyFontFormats="0" applyPatternFormats="0" applyAlignmentFormats="0" applyWidthHeightFormats="0">
  <queryTableRefresh nextId="8">
    <queryTableFields count="7">
      <queryTableField id="1" name="country" tableColumnId="1"/>
      <queryTableField id="2" name="cluster_id" tableColumnId="2"/>
      <queryTableField id="3" name="M4+" tableColumnId="3"/>
      <queryTableField id="4" name="M5+" tableColumnId="4"/>
      <queryTableField id="5" name="M6+" tableColumnId="5"/>
      <queryTableField id="6" name="M7+" tableColumnId="6"/>
      <queryTableField id="7" name="M8+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F0350C97-56F9-431C-BE07-1A953F6EDB05}" autoFormatId="16" applyNumberFormats="0" applyBorderFormats="0" applyFontFormats="0" applyPatternFormats="0" applyAlignmentFormats="0" applyWidthHeightFormats="0">
  <queryTableRefresh nextId="9" unboundColumnsRight="1">
    <queryTableFields count="8">
      <queryTableField id="1" name="country" tableColumnId="1"/>
      <queryTableField id="2" name="cluster_id" tableColumnId="2"/>
      <queryTableField id="3" name="M4+" tableColumnId="3"/>
      <queryTableField id="4" name="M5+" tableColumnId="4"/>
      <queryTableField id="5" name="M6+" tableColumnId="5"/>
      <queryTableField id="6" name="M7+" tableColumnId="6"/>
      <queryTableField id="7" name="M8+" tableColumnId="7"/>
      <queryTableField id="8" dataBound="0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B56C425-57F1-4891-85EC-98AAEFE92C47}" autoFormatId="16" applyNumberFormats="0" applyBorderFormats="0" applyFontFormats="0" applyPatternFormats="0" applyAlignmentFormats="0" applyWidthHeightFormats="0">
  <queryTableRefresh nextId="12">
    <queryTableFields count="11">
      <queryTableField id="1" name="country" tableColumnId="1"/>
      <queryTableField id="2" name="cluster_id" tableColumnId="2"/>
      <queryTableField id="3" name="return_P" tableColumnId="3"/>
      <queryTableField id="4" name="total_earthquakes" tableColumnId="4"/>
      <queryTableField id="5" name="total_gaps" tableColumnId="5"/>
      <queryTableField id="6" name="exact_mode" tableColumnId="6"/>
      <queryTableField id="7" name="min_gap" tableColumnId="7"/>
      <queryTableField id="8" name="max_gap" tableColumnId="8"/>
      <queryTableField id="9" name="mean_gap" tableColumnId="9"/>
      <queryTableField id="10" name="median_gap" tableColumnId="10"/>
      <queryTableField id="11" name="std_gap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A615A7D6-2D9A-4A08-8515-9EF35156AA3C}" autoFormatId="16" applyNumberFormats="0" applyBorderFormats="0" applyFontFormats="0" applyPatternFormats="0" applyAlignmentFormats="0" applyWidthHeightFormats="0">
  <queryTableRefresh nextId="12">
    <queryTableFields count="11">
      <queryTableField id="1" name="country" tableColumnId="1"/>
      <queryTableField id="2" name="cluster_id" tableColumnId="2"/>
      <queryTableField id="3" name="return_P" tableColumnId="3"/>
      <queryTableField id="4" name="total_earthquakes" tableColumnId="4"/>
      <queryTableField id="5" name="total_gaps" tableColumnId="5"/>
      <queryTableField id="6" name="exact_mode" tableColumnId="6"/>
      <queryTableField id="7" name="min_gap" tableColumnId="7"/>
      <queryTableField id="8" name="max_gap" tableColumnId="8"/>
      <queryTableField id="9" name="mean_gap" tableColumnId="9"/>
      <queryTableField id="10" name="median_gap" tableColumnId="10"/>
      <queryTableField id="11" name="std_gap" tableColumnId="1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D2AF2988-C057-4D75-A414-6DF882EBDC1A}" autoFormatId="16" applyNumberFormats="0" applyBorderFormats="0" applyFontFormats="0" applyPatternFormats="0" applyAlignmentFormats="0" applyWidthHeightFormats="0">
  <queryTableRefresh nextId="12">
    <queryTableFields count="11">
      <queryTableField id="1" name="country" tableColumnId="1"/>
      <queryTableField id="2" name="cluster_id" tableColumnId="2"/>
      <queryTableField id="3" name="return_P" tableColumnId="3"/>
      <queryTableField id="4" name="total_earthquakes" tableColumnId="4"/>
      <queryTableField id="5" name="total_gaps" tableColumnId="5"/>
      <queryTableField id="6" name="exact_mode" tableColumnId="6"/>
      <queryTableField id="7" name="min_gap" tableColumnId="7"/>
      <queryTableField id="8" name="max_gap" tableColumnId="8"/>
      <queryTableField id="9" name="mean_gap" tableColumnId="9"/>
      <queryTableField id="10" name="median_gap" tableColumnId="10"/>
      <queryTableField id="11" name="std_gap" tableColumnId="1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54D0810D-28C1-4038-8894-97B0D82D5660}" autoFormatId="16" applyNumberFormats="0" applyBorderFormats="0" applyFontFormats="0" applyPatternFormats="0" applyAlignmentFormats="0" applyWidthHeightFormats="0">
  <queryTableRefresh nextId="12">
    <queryTableFields count="11">
      <queryTableField id="1" name="country" tableColumnId="1"/>
      <queryTableField id="2" name="cluster_id" tableColumnId="2"/>
      <queryTableField id="3" name="return_P" tableColumnId="3"/>
      <queryTableField id="4" name="total_earthquakes" tableColumnId="4"/>
      <queryTableField id="5" name="total_gaps" tableColumnId="5"/>
      <queryTableField id="6" name="exact_mode" tableColumnId="6"/>
      <queryTableField id="7" name="min_gap" tableColumnId="7"/>
      <queryTableField id="8" name="max_gap" tableColumnId="8"/>
      <queryTableField id="9" name="mean_gap" tableColumnId="9"/>
      <queryTableField id="10" name="median_gap" tableColumnId="10"/>
      <queryTableField id="11" name="std_gap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D47961FC-C16C-4510-8D82-88CDABBBE2A0}" autoFormatId="16" applyNumberFormats="0" applyBorderFormats="0" applyFontFormats="0" applyPatternFormats="0" applyAlignmentFormats="0" applyWidthHeightFormats="0">
  <queryTableRefresh nextId="12">
    <queryTableFields count="11">
      <queryTableField id="1" name="country" tableColumnId="1"/>
      <queryTableField id="2" name="cluster_id" tableColumnId="2"/>
      <queryTableField id="3" name="return_P" tableColumnId="3"/>
      <queryTableField id="4" name="total_earthquakes" tableColumnId="4"/>
      <queryTableField id="5" name="total_gaps" tableColumnId="5"/>
      <queryTableField id="6" name="exact_mode" tableColumnId="6"/>
      <queryTableField id="7" name="min_gap" tableColumnId="7"/>
      <queryTableField id="8" name="max_gap" tableColumnId="8"/>
      <queryTableField id="9" name="mean_gap" tableColumnId="9"/>
      <queryTableField id="10" name="median_gap" tableColumnId="10"/>
      <queryTableField id="11" name="std_gap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6D0D1A4-50CC-4980-8499-AA0F4572624F}" name="LSP_All" displayName="LSP_All" ref="A1:G69" tableType="queryTable" totalsRowShown="0">
  <autoFilter ref="A1:G69" xr:uid="{96D0D1A4-50CC-4980-8499-AA0F4572624F}"/>
  <tableColumns count="7">
    <tableColumn id="1" xr3:uid="{272AAABC-D07A-4DC7-BD38-0975BD3CBA12}" uniqueName="1" name="country" queryTableFieldId="1" dataDxfId="8"/>
    <tableColumn id="2" xr3:uid="{256E4953-D209-4B8F-9BC5-16BF01E2CE54}" uniqueName="2" name="cluster_id" queryTableFieldId="2"/>
    <tableColumn id="3" xr3:uid="{2FEE080A-CA69-491E-B7AC-6D8AE6B50CC0}" uniqueName="3" name="M4+" queryTableFieldId="3"/>
    <tableColumn id="4" xr3:uid="{305A7BAF-1795-4B92-97AB-FDEAD94826FA}" uniqueName="4" name="M5+" queryTableFieldId="4"/>
    <tableColumn id="5" xr3:uid="{0F722300-7D20-43F1-87C2-ACC6A0494DA3}" uniqueName="5" name="M6+" queryTableFieldId="5"/>
    <tableColumn id="6" xr3:uid="{72CC92F3-9975-4E5D-88AE-8D94D2790D7B}" uniqueName="6" name="M7+" queryTableFieldId="6"/>
    <tableColumn id="7" xr3:uid="{EC139FA4-2833-46D8-BC15-E4139F9A53A2}" uniqueName="7" name="M8+" queryTableField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676E219-5411-42C9-A960-141CFDBFE15A}" name="NFFT_All" displayName="NFFT_All" ref="A1:H69" tableType="queryTable" totalsRowShown="0">
  <autoFilter ref="A1:H69" xr:uid="{9676E219-5411-42C9-A960-141CFDBFE15A}"/>
  <tableColumns count="8">
    <tableColumn id="1" xr3:uid="{0D94A547-39DA-4D5E-88B5-DEB03E910B4F}" uniqueName="1" name="country" queryTableFieldId="1" dataDxfId="7"/>
    <tableColumn id="2" xr3:uid="{AF819546-A771-4202-86C6-3F9E41A67C30}" uniqueName="2" name="cluster_id" queryTableFieldId="2"/>
    <tableColumn id="3" xr3:uid="{BAAD7701-38F7-4018-87C4-51C45EEADA8E}" uniqueName="3" name="M4+" queryTableFieldId="3"/>
    <tableColumn id="4" xr3:uid="{9CBB2941-406C-49CB-A23B-D58AC855B09D}" uniqueName="4" name="M5+" queryTableFieldId="4"/>
    <tableColumn id="5" xr3:uid="{D28A3287-F471-40D3-96BC-995BA44B563A}" uniqueName="5" name="M6+" queryTableFieldId="5"/>
    <tableColumn id="6" xr3:uid="{A214530B-EEC9-4E12-8CAF-6A6AAD6F9F0B}" uniqueName="6" name="M7+" queryTableFieldId="6"/>
    <tableColumn id="7" xr3:uid="{B87F64D1-0363-404F-91B5-F200896EE23C}" uniqueName="7" name="M8+" queryTableFieldId="7" dataDxfId="6"/>
    <tableColumn id="8" xr3:uid="{CA05D182-8D9E-4CE4-B597-A675A3394977}" uniqueName="8" name="Column1" queryTableFieldId="8" dataDxfId="5">
      <calculatedColumnFormula>VALUE(NFFT_All[[#This Row],[M8+]])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700942-3167-4999-90CD-0EBA3877EA01}" name="statistics_M4" displayName="statistics_M4" ref="A1:K80" tableType="queryTable" totalsRowShown="0">
  <autoFilter ref="A1:K80" xr:uid="{01700942-3167-4999-90CD-0EBA3877EA01}"/>
  <tableColumns count="11">
    <tableColumn id="1" xr3:uid="{E56AB4C4-C1C3-46AD-9BB1-ED7FD07B0ED7}" uniqueName="1" name="country" queryTableFieldId="1" dataDxfId="4"/>
    <tableColumn id="2" xr3:uid="{2B0E6394-0259-4C71-A3BB-9058CC43389E}" uniqueName="2" name="cluster_id" queryTableFieldId="2"/>
    <tableColumn id="3" xr3:uid="{6B774DBF-624D-4AC3-84D1-3B2454B57706}" uniqueName="3" name="return_P" queryTableFieldId="3"/>
    <tableColumn id="4" xr3:uid="{EBAA532F-2932-4687-9A9A-EE1C4248FDCE}" uniqueName="4" name="total_earthquakes" queryTableFieldId="4"/>
    <tableColumn id="5" xr3:uid="{9CAAD8AE-495F-4466-A744-432027DD9931}" uniqueName="5" name="total_gaps" queryTableFieldId="5"/>
    <tableColumn id="6" xr3:uid="{2AD35BE8-8E45-41E8-A0F9-57FBDFEDA018}" uniqueName="6" name="exact_mode" queryTableFieldId="6"/>
    <tableColumn id="7" xr3:uid="{53EE359D-962C-4173-8D43-2A16B6EEBE39}" uniqueName="7" name="min_gap" queryTableFieldId="7"/>
    <tableColumn id="8" xr3:uid="{5221CCBC-BCB4-4D10-8267-F4B3AAE1221D}" uniqueName="8" name="max_gap" queryTableFieldId="8"/>
    <tableColumn id="9" xr3:uid="{EE206836-1EB1-4E9D-BC2F-E274DE578964}" uniqueName="9" name="mean_gap" queryTableFieldId="9"/>
    <tableColumn id="10" xr3:uid="{71B6D05F-EA6A-428B-A572-0055135C3511}" uniqueName="10" name="median_gap" queryTableFieldId="10"/>
    <tableColumn id="11" xr3:uid="{C685B97F-D589-4C75-9FC1-28DE281D5A98}" uniqueName="11" name="std_gap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22E034-2222-4230-A9AF-F80F4B2C8766}" name="statistics_M5" displayName="statistics_M5" ref="A1:K80" tableType="queryTable" totalsRowShown="0">
  <autoFilter ref="A1:K80" xr:uid="{6622E034-2222-4230-A9AF-F80F4B2C8766}"/>
  <tableColumns count="11">
    <tableColumn id="1" xr3:uid="{44517DEB-240F-4ACC-8227-59EA8C5D7F91}" uniqueName="1" name="country" queryTableFieldId="1" dataDxfId="3"/>
    <tableColumn id="2" xr3:uid="{1096B760-6BD2-4B9B-A48A-702459B2F8A3}" uniqueName="2" name="cluster_id" queryTableFieldId="2"/>
    <tableColumn id="3" xr3:uid="{45A9C6BE-EB36-45EA-A343-46B3F72ED308}" uniqueName="3" name="return_P" queryTableFieldId="3"/>
    <tableColumn id="4" xr3:uid="{8FA4A0B3-3B06-4BED-BB33-A4299B25D997}" uniqueName="4" name="total_earthquakes" queryTableFieldId="4"/>
    <tableColumn id="5" xr3:uid="{F5DD3EBD-7D5E-4981-B134-885B9EC278FC}" uniqueName="5" name="total_gaps" queryTableFieldId="5"/>
    <tableColumn id="6" xr3:uid="{0E1C484A-3C8C-45FA-8D93-2B10ABC02F0B}" uniqueName="6" name="exact_mode" queryTableFieldId="6"/>
    <tableColumn id="7" xr3:uid="{451414B4-C296-4666-8864-FD125287BDE9}" uniqueName="7" name="min_gap" queryTableFieldId="7"/>
    <tableColumn id="8" xr3:uid="{7EE58C9F-D8B0-4CB3-B894-80180DC8B286}" uniqueName="8" name="max_gap" queryTableFieldId="8"/>
    <tableColumn id="9" xr3:uid="{BB4FA2E1-F48D-44D1-8240-30F27D0425E7}" uniqueName="9" name="mean_gap" queryTableFieldId="9"/>
    <tableColumn id="10" xr3:uid="{6785B037-8A16-48C7-8C75-82455374FF46}" uniqueName="10" name="median_gap" queryTableFieldId="10"/>
    <tableColumn id="11" xr3:uid="{C38DB8EC-6574-4F70-8C4D-28668CC6DAA2}" uniqueName="11" name="std_gap" queryTableFieldId="1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1F1A9D9-697B-4640-A553-AFB14AD9C157}" name="statistics_M6" displayName="statistics_M6" ref="A1:K80" tableType="queryTable" totalsRowShown="0">
  <autoFilter ref="A1:K80" xr:uid="{C1F1A9D9-697B-4640-A553-AFB14AD9C157}"/>
  <tableColumns count="11">
    <tableColumn id="1" xr3:uid="{551DB455-3BA5-4E2F-AE5D-866E16938F7C}" uniqueName="1" name="country" queryTableFieldId="1" dataDxfId="2"/>
    <tableColumn id="2" xr3:uid="{03D528A1-65EF-40CF-8351-3979F7A3DFEE}" uniqueName="2" name="cluster_id" queryTableFieldId="2"/>
    <tableColumn id="3" xr3:uid="{EDCC48AB-1EAC-4C40-96BD-8CBC3588D2D8}" uniqueName="3" name="return_P" queryTableFieldId="3"/>
    <tableColumn id="4" xr3:uid="{655EDBBA-AEDE-453E-ABB0-F62665E721C5}" uniqueName="4" name="total_earthquakes" queryTableFieldId="4"/>
    <tableColumn id="5" xr3:uid="{C1AE5A0C-61A3-4A3A-A0CD-64D60DA85347}" uniqueName="5" name="total_gaps" queryTableFieldId="5"/>
    <tableColumn id="6" xr3:uid="{C1E57E8A-76AF-49AC-8581-A1C0DFAFF0A3}" uniqueName="6" name="exact_mode" queryTableFieldId="6"/>
    <tableColumn id="7" xr3:uid="{F0526843-B15F-4DD6-951B-F976AE9D523C}" uniqueName="7" name="min_gap" queryTableFieldId="7"/>
    <tableColumn id="8" xr3:uid="{6CA10BB2-77CB-4224-A79C-C9499781918E}" uniqueName="8" name="max_gap" queryTableFieldId="8"/>
    <tableColumn id="9" xr3:uid="{1C344877-4CF4-444F-8D98-6516FBC63414}" uniqueName="9" name="mean_gap" queryTableFieldId="9"/>
    <tableColumn id="10" xr3:uid="{CEF030E1-3AE6-441F-A177-E6044267A248}" uniqueName="10" name="median_gap" queryTableFieldId="10"/>
    <tableColumn id="11" xr3:uid="{54D6D8F9-71C1-4556-B000-ECA9BEB0D09A}" uniqueName="11" name="std_gap" queryTableField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C93256A-C323-4628-B4D5-19F4794CD2EF}" name="statistics_M7" displayName="statistics_M7" ref="A1:K80" tableType="queryTable" totalsRowShown="0">
  <autoFilter ref="A1:K80" xr:uid="{6C93256A-C323-4628-B4D5-19F4794CD2EF}"/>
  <tableColumns count="11">
    <tableColumn id="1" xr3:uid="{01398267-8909-44C3-871D-CB8A494306D9}" uniqueName="1" name="country" queryTableFieldId="1" dataDxfId="1"/>
    <tableColumn id="2" xr3:uid="{C6B29CE9-353B-4C5B-8CE9-72DE17997375}" uniqueName="2" name="cluster_id" queryTableFieldId="2"/>
    <tableColumn id="3" xr3:uid="{27C9E28D-0C28-4D15-9D08-8CB04CC0E34E}" uniqueName="3" name="return_P" queryTableFieldId="3"/>
    <tableColumn id="4" xr3:uid="{F4878F7B-4837-4BCA-8DB7-2683939F14D0}" uniqueName="4" name="total_earthquakes" queryTableFieldId="4"/>
    <tableColumn id="5" xr3:uid="{6C64D1CB-5727-4981-B61E-D056223F5968}" uniqueName="5" name="total_gaps" queryTableFieldId="5"/>
    <tableColumn id="6" xr3:uid="{BA115C4D-F2F1-40AA-A3A3-5B76184C3CB8}" uniqueName="6" name="exact_mode" queryTableFieldId="6"/>
    <tableColumn id="7" xr3:uid="{E84D1430-097D-42F9-A317-79464B595E86}" uniqueName="7" name="min_gap" queryTableFieldId="7"/>
    <tableColumn id="8" xr3:uid="{0E454BA5-D62A-4CE8-B385-45536EDDEB02}" uniqueName="8" name="max_gap" queryTableFieldId="8"/>
    <tableColumn id="9" xr3:uid="{BF3A802E-A9EC-4DE2-A123-A312343259F7}" uniqueName="9" name="mean_gap" queryTableFieldId="9"/>
    <tableColumn id="10" xr3:uid="{C43CBE5E-732B-431D-B126-A689BC5313A9}" uniqueName="10" name="median_gap" queryTableFieldId="10"/>
    <tableColumn id="11" xr3:uid="{0359778B-1789-48D0-95CA-2A85300A3F3B}" uniqueName="11" name="std_gap" queryTableFieldId="1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D75075A-E620-4C73-8908-F691FD04000E}" name="statistics_M8" displayName="statistics_M8" ref="A1:K80" tableType="queryTable" totalsRowShown="0">
  <autoFilter ref="A1:K80" xr:uid="{FD75075A-E620-4C73-8908-F691FD04000E}"/>
  <tableColumns count="11">
    <tableColumn id="1" xr3:uid="{3604231E-ABEE-47B6-87E6-ED011780BFAD}" uniqueName="1" name="country" queryTableFieldId="1" dataDxfId="0"/>
    <tableColumn id="2" xr3:uid="{828C3FEC-1AC1-4829-8E72-9C4F179637A2}" uniqueName="2" name="cluster_id" queryTableFieldId="2"/>
    <tableColumn id="3" xr3:uid="{73DEE475-B9B7-4F55-A04F-67B2DEE30554}" uniqueName="3" name="return_P" queryTableFieldId="3"/>
    <tableColumn id="4" xr3:uid="{A9168E0F-C9C4-4174-841F-F11A5AB6DF03}" uniqueName="4" name="total_earthquakes" queryTableFieldId="4"/>
    <tableColumn id="5" xr3:uid="{48A65E03-911B-4CB0-9956-9C9EE71F5180}" uniqueName="5" name="total_gaps" queryTableFieldId="5"/>
    <tableColumn id="6" xr3:uid="{79FA3EFF-4693-486B-B685-46A9B4097077}" uniqueName="6" name="exact_mode" queryTableFieldId="6"/>
    <tableColumn id="7" xr3:uid="{6DA19960-EB5A-458C-894B-2FC3D9517D43}" uniqueName="7" name="min_gap" queryTableFieldId="7"/>
    <tableColumn id="8" xr3:uid="{92B1AF41-9404-49DF-9D9A-923ECC4E1B14}" uniqueName="8" name="max_gap" queryTableFieldId="8"/>
    <tableColumn id="9" xr3:uid="{BD406E5D-D5B7-4F99-AD1B-04F4D9D13647}" uniqueName="9" name="mean_gap" queryTableFieldId="9"/>
    <tableColumn id="10" xr3:uid="{5D5C6F56-99E6-4B2F-A0D5-604B42143E7A}" uniqueName="10" name="median_gap" queryTableFieldId="10"/>
    <tableColumn id="11" xr3:uid="{A39E3477-8438-4C75-9852-E0842A4FDAF4}" uniqueName="11" name="std_gap" queryTableField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CFCCA-B3FA-4800-BA4D-D2A88F076144}">
  <dimension ref="A1:G36"/>
  <sheetViews>
    <sheetView workbookViewId="0">
      <selection activeCell="O16" sqref="O16"/>
    </sheetView>
  </sheetViews>
  <sheetFormatPr defaultRowHeight="14.5" x14ac:dyDescent="0.35"/>
  <cols>
    <col min="1" max="1" width="18.7265625" bestFit="1" customWidth="1"/>
    <col min="2" max="2" width="16.36328125" customWidth="1"/>
  </cols>
  <sheetData>
    <row r="1" spans="1:7" x14ac:dyDescent="0.35">
      <c r="C1" s="1" t="s">
        <v>43</v>
      </c>
      <c r="D1" s="1" t="s">
        <v>44</v>
      </c>
      <c r="E1" s="1" t="s">
        <v>45</v>
      </c>
      <c r="F1" s="1" t="s">
        <v>46</v>
      </c>
      <c r="G1" s="1" t="s">
        <v>47</v>
      </c>
    </row>
    <row r="2" spans="1:7" x14ac:dyDescent="0.35">
      <c r="A2" t="s">
        <v>42</v>
      </c>
      <c r="B2" t="s">
        <v>48</v>
      </c>
      <c r="C2" s="2">
        <f>ROUND(AVERAGE('statistics-M4'!$I$2:$I$13)/365.25,3)</f>
        <v>1.716</v>
      </c>
      <c r="D2" s="2">
        <f>ROUND(AVERAGE('statistics-M5'!$I$2:$I$13)/365.25,3)</f>
        <v>2.1920000000000002</v>
      </c>
      <c r="E2" s="2">
        <f>ROUND(AVERAGE('statistics-M6'!$I$2:$I$13)/365.25,3)</f>
        <v>10.632999999999999</v>
      </c>
      <c r="F2" s="2">
        <f>ROUND(AVERAGE('statistics-M7'!$I$2:$I$13)/365.25,3)</f>
        <v>2.9820000000000002</v>
      </c>
      <c r="G2" s="2">
        <f>ROUND(AVERAGE('statistics-M8'!$I$2:$I$13)/365.25,3)</f>
        <v>23.01</v>
      </c>
    </row>
    <row r="3" spans="1:7" x14ac:dyDescent="0.35">
      <c r="B3" t="s">
        <v>49</v>
      </c>
      <c r="C3" s="2">
        <f>ROUND(AVERAGE('statistics-M4'!$F$2:$F$13)/365.25,3)</f>
        <v>0.64500000000000002</v>
      </c>
      <c r="D3" s="2">
        <f>ROUND(AVERAGE('statistics-M5'!$F$2:$F$13)/365.25,3)</f>
        <v>0.71199999999999997</v>
      </c>
      <c r="E3" s="2">
        <f>ROUND(AVERAGE('statistics-M6'!$F$2:$F$13)/365.25,3)</f>
        <v>6.7190000000000003</v>
      </c>
      <c r="F3" s="2">
        <f>ROUND(AVERAGE('statistics-M7'!$F$2:$F$13)/365.25,3)</f>
        <v>0.67</v>
      </c>
      <c r="G3" s="2">
        <f>ROUND(AVERAGE('statistics-M8'!$F$2:$F$13)/365.25,3)</f>
        <v>9.5790000000000006</v>
      </c>
    </row>
    <row r="4" spans="1:7" x14ac:dyDescent="0.35">
      <c r="B4" t="s">
        <v>50</v>
      </c>
      <c r="C4" s="2">
        <f>ROUND(AVERAGE('statistics-M4'!$J$2:$J$13)/365.25,3)</f>
        <v>1.123</v>
      </c>
      <c r="D4" s="2">
        <f>ROUND(AVERAGE('statistics-M5'!$J$2:$J$13)/365.25,3)</f>
        <v>1.5740000000000001</v>
      </c>
      <c r="E4" s="2">
        <f>ROUND(AVERAGE('statistics-M6'!$J$2:$J$13)/365.25,3)</f>
        <v>9.1590000000000007</v>
      </c>
      <c r="F4" s="2">
        <f>ROUND(AVERAGE('statistics-M7'!$J$2:$J$13)/365.25,3)</f>
        <v>1.9990000000000001</v>
      </c>
      <c r="G4" s="2">
        <f>ROUND(AVERAGE('statistics-M8'!$J$2:$J$13)/365.25,3)</f>
        <v>17.228000000000002</v>
      </c>
    </row>
    <row r="5" spans="1:7" x14ac:dyDescent="0.35">
      <c r="B5" t="s">
        <v>7</v>
      </c>
      <c r="C5" s="2">
        <f>ROUND(AVERAGE(NFFT_All!$C$2:$C$10),3)</f>
        <v>6.1890000000000001</v>
      </c>
      <c r="D5" s="2">
        <f>ROUND(AVERAGE(NFFT_All!$D$2:$D$10),3)</f>
        <v>7.7670000000000003</v>
      </c>
      <c r="E5" s="2">
        <f>ROUND(AVERAGE(NFFT_All!$E$2:$E$10),3)</f>
        <v>12.116</v>
      </c>
      <c r="F5" s="2">
        <f>ROUND(AVERAGE(NFFT_All!$F$2:$F$10),3)</f>
        <v>11.289</v>
      </c>
      <c r="G5" s="2" t="e">
        <f>ROUND(AVERAGE(NFFT_All!$G$2:$G$10),3)</f>
        <v>#DIV/0!</v>
      </c>
    </row>
    <row r="6" spans="1:7" x14ac:dyDescent="0.35">
      <c r="B6" t="s">
        <v>8</v>
      </c>
      <c r="C6" s="2">
        <f>ROUND(AVERAGE(LSP_All!$C$2:$C$10),3)</f>
        <v>12.347</v>
      </c>
      <c r="D6" s="2">
        <f>ROUND(AVERAGE(LSP_All!$D$2:$D$10),3)</f>
        <v>11.116</v>
      </c>
      <c r="E6" s="2">
        <f>ROUND(AVERAGE(LSP_All!$E$2:$E$10),3)</f>
        <v>14.882999999999999</v>
      </c>
      <c r="F6" s="2">
        <f>ROUND(AVERAGE(LSP_All!$F$2:$F$10),3)</f>
        <v>15.851000000000001</v>
      </c>
      <c r="G6" s="2" t="e">
        <f>ROUND(AVERAGE(LSP_All!$G$2:$G$10),3)</f>
        <v>#DIV/0!</v>
      </c>
    </row>
    <row r="7" spans="1:7" x14ac:dyDescent="0.35">
      <c r="A7" t="s">
        <v>51</v>
      </c>
      <c r="B7" t="s">
        <v>48</v>
      </c>
      <c r="C7" s="2">
        <f>ROUND(AVERAGE('statistics-M4'!$I$14:$I$25)/365.25,3)</f>
        <v>1.734</v>
      </c>
      <c r="D7" s="2">
        <f>ROUND(AVERAGE('statistics-M5'!$I$14:$I$25)/365.25,3)</f>
        <v>2.9550000000000001</v>
      </c>
      <c r="E7" s="2">
        <f>ROUND(AVERAGE('statistics-M6'!$I$14:$I$25)/365.25,3)</f>
        <v>8.6519999999999992</v>
      </c>
      <c r="F7" s="2">
        <f>ROUND(AVERAGE('statistics-M7'!$I$14:$I$25)/365.25,3)</f>
        <v>17.172999999999998</v>
      </c>
      <c r="G7" s="2">
        <f>ROUND(AVERAGE('statistics-M8'!$I$14:$I$25)/365.25,3)</f>
        <v>22.481999999999999</v>
      </c>
    </row>
    <row r="8" spans="1:7" x14ac:dyDescent="0.35">
      <c r="B8" t="s">
        <v>49</v>
      </c>
      <c r="C8" s="2">
        <f>ROUND(AVERAGE('statistics-M4'!$F$14:$F$25)/365.25,3)</f>
        <v>0.64300000000000002</v>
      </c>
      <c r="D8" s="2">
        <f>ROUND(AVERAGE('statistics-M5'!$F$14:$F$25)/365.25,3)</f>
        <v>0.624</v>
      </c>
      <c r="E8" s="2">
        <f>ROUND(AVERAGE('statistics-M6'!$F$14:$F$25)/365.25,3)</f>
        <v>4.5540000000000003</v>
      </c>
      <c r="F8" s="2">
        <f>ROUND(AVERAGE('statistics-M7'!$F$14:$F$25)/365.25,3)</f>
        <v>8.7769999999999992</v>
      </c>
      <c r="G8" s="2">
        <f>ROUND(AVERAGE('statistics-M8'!$F$14:$F$25)/365.25,3)</f>
        <v>8.5530000000000008</v>
      </c>
    </row>
    <row r="9" spans="1:7" x14ac:dyDescent="0.35">
      <c r="B9" t="s">
        <v>50</v>
      </c>
      <c r="C9" s="2">
        <f>ROUND(AVERAGE('statistics-M4'!$J$14:$J$25)/365.25,3)</f>
        <v>1.0860000000000001</v>
      </c>
      <c r="D9" s="2">
        <f>ROUND(AVERAGE('statistics-M5'!$J$14:$J$25)/365.25,3)</f>
        <v>2.0710000000000002</v>
      </c>
      <c r="E9" s="2">
        <f>ROUND(AVERAGE('statistics-M6'!$J$14:$J$25)/365.25,3)</f>
        <v>8.2669999999999995</v>
      </c>
      <c r="F9" s="2">
        <f>ROUND(AVERAGE('statistics-M7'!$J$14:$J$25)/365.25,3)</f>
        <v>15.018000000000001</v>
      </c>
      <c r="G9" s="2">
        <f>ROUND(AVERAGE('statistics-M8'!$J$14:$J$25)/365.25,3)</f>
        <v>16.427</v>
      </c>
    </row>
    <row r="10" spans="1:7" x14ac:dyDescent="0.35">
      <c r="B10" t="s">
        <v>7</v>
      </c>
      <c r="C10" s="2">
        <f>ROUND(AVERAGE(NFFT_All!$C$11:$C$21),3)</f>
        <v>5.4160000000000004</v>
      </c>
      <c r="D10" s="2">
        <f>ROUND(AVERAGE(NFFT_All!$D$11:$D$21),3)</f>
        <v>7.73</v>
      </c>
      <c r="E10" s="2">
        <f>ROUND(AVERAGE(NFFT_All!$E$11:$E$21),3)</f>
        <v>9.8819999999999997</v>
      </c>
      <c r="F10" s="2">
        <f>ROUND(AVERAGE(NFFT_All!$F$11:$F$21),3)</f>
        <v>7.4669999999999996</v>
      </c>
      <c r="G10" s="2" t="e">
        <f>ROUND(AVERAGE(NFFT_All!$G$11:$G$21),3)</f>
        <v>#DIV/0!</v>
      </c>
    </row>
    <row r="11" spans="1:7" x14ac:dyDescent="0.35">
      <c r="B11" t="s">
        <v>8</v>
      </c>
      <c r="C11" s="2">
        <f>ROUND(AVERAGE(LSP_All!$C$11:$C$21),3)</f>
        <v>11.272</v>
      </c>
      <c r="D11" s="2">
        <f>ROUND(AVERAGE(LSP_All!$D$11:$D$21),3)</f>
        <v>6.8639999999999999</v>
      </c>
      <c r="E11" s="2">
        <f>ROUND(AVERAGE(LSP_All!$E$11:$E$21),3)</f>
        <v>10.67</v>
      </c>
      <c r="F11" s="2">
        <f>ROUND(AVERAGE(LSP_All!$F$11:$F$21),3)</f>
        <v>8.6170000000000009</v>
      </c>
      <c r="G11" s="2" t="e">
        <f>ROUND(AVERAGE(LSP_All!$G$11:$G$21),3)</f>
        <v>#DIV/0!</v>
      </c>
    </row>
    <row r="12" spans="1:7" x14ac:dyDescent="0.35">
      <c r="A12" t="s">
        <v>52</v>
      </c>
      <c r="B12" t="s">
        <v>48</v>
      </c>
      <c r="C12" s="2">
        <f>ROUND(AVERAGE('statistics-M4'!$I$26:$I$37)/365.25,3)</f>
        <v>1.3919999999999999</v>
      </c>
      <c r="D12" s="2">
        <f>ROUND(AVERAGE('statistics-M5'!$I$26:$I$37)/365.25,3)</f>
        <v>1.6839999999999999</v>
      </c>
      <c r="E12" s="2">
        <f>ROUND(AVERAGE('statistics-M6'!$I$26:$I$37)/365.25,3)</f>
        <v>7.1289999999999996</v>
      </c>
      <c r="F12" s="2">
        <f>ROUND(AVERAGE('statistics-M7'!$I$26:$I$37)/365.25,3)</f>
        <v>24.672999999999998</v>
      </c>
      <c r="G12" s="2">
        <f>ROUND(AVERAGE('statistics-M8'!$I$26:$I$37)/365.25,3)</f>
        <v>14.744</v>
      </c>
    </row>
    <row r="13" spans="1:7" x14ac:dyDescent="0.35">
      <c r="B13" t="s">
        <v>49</v>
      </c>
      <c r="C13" s="2">
        <f>ROUND(AVERAGE('statistics-M4'!$F$26:$F$37)/365.25,3)</f>
        <v>0.63</v>
      </c>
      <c r="D13" s="2">
        <f>ROUND(AVERAGE('statistics-M5'!$F$26:$F$37)/365.25,3)</f>
        <v>0.63600000000000001</v>
      </c>
      <c r="E13" s="2">
        <f>ROUND(AVERAGE('statistics-M6'!$F$26:$F$37)/365.25,3)</f>
        <v>1.5269999999999999</v>
      </c>
      <c r="F13" s="2">
        <f>ROUND(AVERAGE('statistics-M7'!$F$26:$F$37)/365.25,3)</f>
        <v>8.3249999999999993</v>
      </c>
      <c r="G13" s="2">
        <f>ROUND(AVERAGE('statistics-M8'!$F$26:$F$37)/365.25,3)</f>
        <v>4.4080000000000004</v>
      </c>
    </row>
    <row r="14" spans="1:7" x14ac:dyDescent="0.35">
      <c r="B14" t="s">
        <v>50</v>
      </c>
      <c r="C14" s="2">
        <f>ROUND(AVERAGE('statistics-M4'!$J$26:$J$37)/365.25,3)</f>
        <v>0.87</v>
      </c>
      <c r="D14" s="2">
        <f>ROUND(AVERAGE('statistics-M5'!$J$26:$J$37)/365.25,3)</f>
        <v>1.0129999999999999</v>
      </c>
      <c r="E14" s="2">
        <f>ROUND(AVERAGE('statistics-M6'!$J$26:$J$37)/365.25,3)</f>
        <v>5.2969999999999997</v>
      </c>
      <c r="F14" s="2">
        <f>ROUND(AVERAGE('statistics-M7'!$J$26:$J$37)/365.25,3)</f>
        <v>21.11</v>
      </c>
      <c r="G14" s="2">
        <f>ROUND(AVERAGE('statistics-M8'!$J$26:$J$37)/365.25,3)</f>
        <v>11.587</v>
      </c>
    </row>
    <row r="15" spans="1:7" x14ac:dyDescent="0.35">
      <c r="B15" t="s">
        <v>7</v>
      </c>
      <c r="C15" s="2">
        <f>ROUND(AVERAGE(NFFT_All!$C$22:$C$33),3)</f>
        <v>5.3620000000000001</v>
      </c>
      <c r="D15" s="2">
        <f>ROUND(AVERAGE(NFFT_All!$D$22:$D$33),3)</f>
        <v>6.9139999999999997</v>
      </c>
      <c r="E15" s="2">
        <f>ROUND(AVERAGE(NFFT_All!$E$22:$E$33),3)</f>
        <v>10.596</v>
      </c>
      <c r="F15" s="2">
        <f>ROUND(AVERAGE(NFFT_All!$F$22:$F$33),3)</f>
        <v>4.8760000000000003</v>
      </c>
      <c r="G15" s="2" t="e">
        <f>ROUND(AVERAGE(NFFT_All!$G$22:$G$33),3)</f>
        <v>#DIV/0!</v>
      </c>
    </row>
    <row r="16" spans="1:7" x14ac:dyDescent="0.35">
      <c r="B16" t="s">
        <v>8</v>
      </c>
      <c r="C16" s="2">
        <f>ROUND(AVERAGE(LSP_All!$C$22:$C$33),3)</f>
        <v>13.271000000000001</v>
      </c>
      <c r="D16" s="2">
        <f>ROUND(AVERAGE(LSP_All!$D$22:$D$33),3)</f>
        <v>11.622</v>
      </c>
      <c r="E16" s="2">
        <f>ROUND(AVERAGE(LSP_All!$E$22:$E$33),3)</f>
        <v>23.26</v>
      </c>
      <c r="F16" s="2">
        <f>ROUND(AVERAGE(LSP_All!$F$22:$F$33),3)</f>
        <v>4.8739999999999997</v>
      </c>
      <c r="G16" s="2" t="e">
        <f>ROUND(AVERAGE(LSP_All!$G$22:$G$33),3)</f>
        <v>#DIV/0!</v>
      </c>
    </row>
    <row r="17" spans="1:7" x14ac:dyDescent="0.35">
      <c r="A17" t="s">
        <v>53</v>
      </c>
      <c r="B17" t="s">
        <v>48</v>
      </c>
      <c r="C17" s="2">
        <f>ROUND(AVERAGE('statistics-M4'!$I$38:$I$45)/365.25,3)</f>
        <v>1.841</v>
      </c>
      <c r="D17" s="2">
        <f>ROUND(AVERAGE('statistics-M5'!$I$38:$I$45)/365.25,3)</f>
        <v>3.02</v>
      </c>
      <c r="E17" s="2">
        <f>ROUND(AVERAGE('statistics-M6'!$I$38:$I$45)/365.25,3)</f>
        <v>3.27</v>
      </c>
      <c r="F17" s="2">
        <f>ROUND(AVERAGE('statistics-M7'!$I$38:$I$45)/365.25,3)</f>
        <v>10.981</v>
      </c>
      <c r="G17" s="2" t="e">
        <f>ROUND(AVERAGE('statistics-M8'!$I$38:$I$45)/365.25,3)</f>
        <v>#DIV/0!</v>
      </c>
    </row>
    <row r="18" spans="1:7" x14ac:dyDescent="0.35">
      <c r="B18" t="s">
        <v>49</v>
      </c>
      <c r="C18" s="2">
        <f>ROUND(AVERAGE('statistics-M4'!$F$38:$F$45)/365.25,3)</f>
        <v>0.61099999999999999</v>
      </c>
      <c r="D18" s="2">
        <f>ROUND(AVERAGE('statistics-M5'!$F$38:$F$45)/365.25,3)</f>
        <v>0.74199999999999999</v>
      </c>
      <c r="E18" s="2">
        <f>ROUND(AVERAGE('statistics-M6'!$F$38:$F$45)/365.25,3)</f>
        <v>0.69599999999999995</v>
      </c>
      <c r="F18" s="2">
        <f>ROUND(AVERAGE('statistics-M7'!$F$38:$F$45)/365.25,3)</f>
        <v>1.355</v>
      </c>
      <c r="G18" s="2" t="e">
        <f>ROUND(AVERAGE('statistics-M8'!$F$38:$F$45)/365.25,3)</f>
        <v>#DIV/0!</v>
      </c>
    </row>
    <row r="19" spans="1:7" x14ac:dyDescent="0.35">
      <c r="B19" t="s">
        <v>50</v>
      </c>
      <c r="C19" s="2">
        <f>ROUND(AVERAGE('statistics-M4'!$J$38:$J$45)/365.25,3)</f>
        <v>1.014</v>
      </c>
      <c r="D19" s="2">
        <f>ROUND(AVERAGE('statistics-M5'!$J$38:$J$45)/365.25,3)</f>
        <v>2.6579999999999999</v>
      </c>
      <c r="E19" s="2">
        <f>ROUND(AVERAGE('statistics-M6'!$J$38:$J$45)/365.25,3)</f>
        <v>2.4169999999999998</v>
      </c>
      <c r="F19" s="2">
        <f>ROUND(AVERAGE('statistics-M7'!$J$38:$J$45)/365.25,3)</f>
        <v>8.3350000000000009</v>
      </c>
      <c r="G19" s="2" t="e">
        <f>ROUND(AVERAGE('statistics-M8'!$J$38:$J$45)/365.25,3)</f>
        <v>#DIV/0!</v>
      </c>
    </row>
    <row r="20" spans="1:7" x14ac:dyDescent="0.35">
      <c r="B20" t="s">
        <v>7</v>
      </c>
      <c r="C20" s="2">
        <f>ROUND(AVERAGE(NFFT_All!$C$34:$C$38),3)</f>
        <v>5.4119999999999999</v>
      </c>
      <c r="D20" s="2">
        <f>ROUND(AVERAGE(NFFT_All!$D$34:$D$38),3)</f>
        <v>6.9379999999999997</v>
      </c>
      <c r="E20" s="2">
        <f>ROUND(AVERAGE(NFFT_All!$E$34:$E$38),3)</f>
        <v>9.9489999999999998</v>
      </c>
      <c r="F20" s="2">
        <f>ROUND(AVERAGE(NFFT_All!$F$34:$F$38),3)</f>
        <v>24.94</v>
      </c>
      <c r="G20" s="2" t="e">
        <f>ROUND(AVERAGE(NFFT_All!$G$34:$G$38),3)</f>
        <v>#DIV/0!</v>
      </c>
    </row>
    <row r="21" spans="1:7" x14ac:dyDescent="0.35">
      <c r="B21" t="s">
        <v>8</v>
      </c>
      <c r="C21" s="2">
        <f>ROUND(AVERAGE(LSP_All!$C$34:$C$38),3)</f>
        <v>11.465999999999999</v>
      </c>
      <c r="D21" s="2">
        <f>ROUND(AVERAGE(LSP_All!$D$34:$D$38),3)</f>
        <v>9.2479999999999993</v>
      </c>
      <c r="E21" s="2">
        <f>ROUND(AVERAGE(LSP_All!$E$34:$E$38),3)</f>
        <v>11.962</v>
      </c>
      <c r="F21" s="2">
        <f>ROUND(AVERAGE(LSP_All!$F$34:$F$38),3)</f>
        <v>23.352</v>
      </c>
      <c r="G21" s="2" t="e">
        <f>ROUND(AVERAGE(LSP_All!$G$34:$G$38),3)</f>
        <v>#DIV/0!</v>
      </c>
    </row>
    <row r="22" spans="1:7" x14ac:dyDescent="0.35">
      <c r="A22" t="s">
        <v>54</v>
      </c>
      <c r="B22" t="s">
        <v>48</v>
      </c>
      <c r="C22" s="2">
        <f>ROUND(AVERAGE('statistics-M4'!$I$46:$I$57)/365.25,3)</f>
        <v>2.2229999999999999</v>
      </c>
      <c r="D22" s="2">
        <f>ROUND(AVERAGE('statistics-M5'!$I$46:$I$57)/365.25,3)</f>
        <v>4.0220000000000002</v>
      </c>
      <c r="E22" s="2">
        <f>ROUND(AVERAGE('statistics-M6'!$I$46:$I$57)/365.25,3)</f>
        <v>4.1529999999999996</v>
      </c>
      <c r="F22" s="2">
        <f>ROUND(AVERAGE('statistics-M7'!$I$46:$I$57)/365.25,3)</f>
        <v>20.440999999999999</v>
      </c>
      <c r="G22" s="2">
        <f>ROUND(AVERAGE('statistics-M8'!$I$46:$I$57)/365.25,3)</f>
        <v>14.224</v>
      </c>
    </row>
    <row r="23" spans="1:7" x14ac:dyDescent="0.35">
      <c r="B23" t="s">
        <v>49</v>
      </c>
      <c r="C23" s="2">
        <f>ROUND(AVERAGE('statistics-M4'!$F$46:$F$57)/365.25,3)</f>
        <v>0.73699999999999999</v>
      </c>
      <c r="D23" s="2">
        <f>ROUND(AVERAGE('statistics-M5'!$F$46:$F$57)/365.25,3)</f>
        <v>0.77800000000000002</v>
      </c>
      <c r="E23" s="2">
        <f>ROUND(AVERAGE('statistics-M6'!$F$46:$F$57)/365.25,3)</f>
        <v>0.95399999999999996</v>
      </c>
      <c r="F23" s="2">
        <f>ROUND(AVERAGE('statistics-M7'!$F$46:$F$57)/365.25,3)</f>
        <v>17.128</v>
      </c>
      <c r="G23" s="2">
        <f>ROUND(AVERAGE('statistics-M8'!$F$46:$F$57)/365.25,3)</f>
        <v>1.855</v>
      </c>
    </row>
    <row r="24" spans="1:7" x14ac:dyDescent="0.35">
      <c r="B24" t="s">
        <v>50</v>
      </c>
      <c r="C24" s="2">
        <f>ROUND(AVERAGE('statistics-M4'!$J$46:$J$57)/365.25,3)</f>
        <v>1.149</v>
      </c>
      <c r="D24" s="2">
        <f>ROUND(AVERAGE('statistics-M5'!$J$46:$J$57)/365.25,3)</f>
        <v>2.2490000000000001</v>
      </c>
      <c r="E24" s="2">
        <f>ROUND(AVERAGE('statistics-M6'!$J$46:$J$57)/365.25,3)</f>
        <v>2.4279999999999999</v>
      </c>
      <c r="F24" s="2">
        <f>ROUND(AVERAGE('statistics-M7'!$J$46:$J$57)/365.25,3)</f>
        <v>19.716999999999999</v>
      </c>
      <c r="G24" s="2">
        <f>ROUND(AVERAGE('statistics-M8'!$J$46:$J$57)/365.25,3)</f>
        <v>13.946</v>
      </c>
    </row>
    <row r="25" spans="1:7" x14ac:dyDescent="0.35">
      <c r="B25" t="s">
        <v>7</v>
      </c>
      <c r="C25" s="3">
        <f>ROUND(AVERAGE(NFFT_All!$C$39:$C$50),3)</f>
        <v>4.8869999999999996</v>
      </c>
      <c r="D25" s="2">
        <f>ROUND(AVERAGE(NFFT_All!$D$39:$D$50),3)</f>
        <v>4.5529999999999999</v>
      </c>
      <c r="E25" s="2">
        <f>ROUND(AVERAGE(NFFT_All!$E$39:$E$50),3)</f>
        <v>11.031000000000001</v>
      </c>
      <c r="F25" s="2">
        <f>ROUND(AVERAGE(NFFT_All!$F$39:$F$50),3)</f>
        <v>16.797000000000001</v>
      </c>
      <c r="G25" s="4">
        <f>ROUND(_xlfn.AGGREGATE(1,6,NFFT_All!$H$39:$H$50),3)</f>
        <v>24.245000000000001</v>
      </c>
    </row>
    <row r="26" spans="1:7" x14ac:dyDescent="0.35">
      <c r="B26" t="s">
        <v>8</v>
      </c>
      <c r="C26" s="2">
        <f>ROUND(AVERAGE(LSP_All!$C$39:$C$50),3)</f>
        <v>8.9179999999999993</v>
      </c>
      <c r="D26" s="2">
        <f>ROUND(AVERAGE(LSP_All!$D$39:$D$50),3)</f>
        <v>10.002000000000001</v>
      </c>
      <c r="E26" s="2">
        <f>ROUND(AVERAGE(LSP_All!$E$39:$E$50),3)</f>
        <v>13.327</v>
      </c>
      <c r="F26" s="2">
        <f>ROUND(AVERAGE(LSP_All!$F$39:$F$50),3)</f>
        <v>18.280999999999999</v>
      </c>
      <c r="G26" s="2">
        <f>ROUND(AVERAGE(LSP_All!$G$39:$G$50),3)</f>
        <v>36.299999999999997</v>
      </c>
    </row>
    <row r="27" spans="1:7" x14ac:dyDescent="0.35">
      <c r="A27" t="s">
        <v>55</v>
      </c>
      <c r="B27" t="s">
        <v>48</v>
      </c>
      <c r="C27" s="2">
        <f>ROUND(AVERAGE('statistics-M4'!$I$58:$I$69)/365.25,3)</f>
        <v>1.413</v>
      </c>
      <c r="D27" s="2">
        <f>ROUND(AVERAGE('statistics-M5'!$I$58:$I$69)/365.25,3)</f>
        <v>1.6659999999999999</v>
      </c>
      <c r="E27" s="2">
        <f>ROUND(AVERAGE('statistics-M6'!$I$58:$I$69)/365.25,3)</f>
        <v>7.1520000000000001</v>
      </c>
      <c r="F27" s="2">
        <f>ROUND(AVERAGE('statistics-M7'!$I$58:$I$69)/365.25,3)</f>
        <v>7.8460000000000001</v>
      </c>
      <c r="G27" s="2">
        <f>ROUND(AVERAGE('statistics-M8'!$I$58:$I$69)/365.25,3)</f>
        <v>31.553999999999998</v>
      </c>
    </row>
    <row r="28" spans="1:7" x14ac:dyDescent="0.35">
      <c r="B28" t="s">
        <v>49</v>
      </c>
      <c r="C28" s="2">
        <f>ROUND(AVERAGE('statistics-M4'!$F$58:$F$69)/365.25,3)</f>
        <v>0.60899999999999999</v>
      </c>
      <c r="D28" s="2">
        <f>ROUND(AVERAGE('statistics-M5'!$F$58:$F$69)/365.25,3)</f>
        <v>0.66300000000000003</v>
      </c>
      <c r="E28" s="2">
        <f>ROUND(AVERAGE('statistics-M6'!$F$58:$F$69)/365.25,3)</f>
        <v>4.1459999999999999</v>
      </c>
      <c r="F28" s="2">
        <f>ROUND(AVERAGE('statistics-M7'!$F$58:$F$69)/365.25,3)</f>
        <v>1.651</v>
      </c>
      <c r="G28" s="2">
        <f>ROUND(AVERAGE('statistics-M8'!$F$58:$F$69)/365.25,3)</f>
        <v>23.18</v>
      </c>
    </row>
    <row r="29" spans="1:7" x14ac:dyDescent="0.35">
      <c r="B29" t="s">
        <v>50</v>
      </c>
      <c r="C29" s="2">
        <f>ROUND(AVERAGE('statistics-M4'!$J$58:$J$69)/365.25,3)</f>
        <v>0.95199999999999996</v>
      </c>
      <c r="D29" s="2">
        <f>ROUND(AVERAGE('statistics-M5'!$J$58:$J$69)/365.25,3)</f>
        <v>1.07</v>
      </c>
      <c r="E29" s="2">
        <f>ROUND(AVERAGE('statistics-M6'!$J$58:$J$69)/365.25,3)</f>
        <v>6.1440000000000001</v>
      </c>
      <c r="F29" s="2">
        <f>ROUND(AVERAGE('statistics-M7'!$J$58:$J$69)/365.25,3)</f>
        <v>7.1660000000000004</v>
      </c>
      <c r="G29" s="2">
        <f>ROUND(AVERAGE('statistics-M8'!$J$58:$J$69)/365.25,3)</f>
        <v>30.388999999999999</v>
      </c>
    </row>
    <row r="30" spans="1:7" x14ac:dyDescent="0.35">
      <c r="B30" t="s">
        <v>7</v>
      </c>
      <c r="C30" s="3">
        <f>ROUND(AVERAGE(NFFT_All!$C$51:$C$59),3)</f>
        <v>6.64</v>
      </c>
      <c r="D30" s="2">
        <f>ROUND(AVERAGE(NFFT_All!$D$51:$D$59),3)</f>
        <v>7.2519999999999998</v>
      </c>
      <c r="E30" s="2">
        <f>ROUND(AVERAGE(NFFT_All!$E$51:$E$59),3)</f>
        <v>9.9740000000000002</v>
      </c>
      <c r="F30" s="3">
        <f>ROUND(AVERAGE(NFFT_All!$F$51:$F$59),3)</f>
        <v>11.920999999999999</v>
      </c>
      <c r="G30" s="4">
        <f>ROUND(_xlfn.AGGREGATE(1,6,NFFT_All!$H$51:$H$59),3)</f>
        <v>25.177</v>
      </c>
    </row>
    <row r="31" spans="1:7" x14ac:dyDescent="0.35">
      <c r="B31" t="s">
        <v>8</v>
      </c>
      <c r="C31" s="2">
        <f>ROUND(AVERAGE(LSP_All!$C$51:$C$59),3)</f>
        <v>10.462</v>
      </c>
      <c r="D31" s="2">
        <f>ROUND(AVERAGE(LSP_All!$D$51:$D$59),3)</f>
        <v>7.7850000000000001</v>
      </c>
      <c r="E31" s="2">
        <f>ROUND(AVERAGE(LSP_All!$E$51:$E$59),3)</f>
        <v>17.462</v>
      </c>
      <c r="F31" s="2">
        <f>ROUND(AVERAGE(LSP_All!$F$51:$F$59),3)</f>
        <v>12.644</v>
      </c>
      <c r="G31" s="2">
        <f>ROUND(AVERAGE(LSP_All!$G$51:$G$59),3)</f>
        <v>23.388000000000002</v>
      </c>
    </row>
    <row r="32" spans="1:7" x14ac:dyDescent="0.35">
      <c r="A32" t="s">
        <v>56</v>
      </c>
      <c r="B32" t="s">
        <v>48</v>
      </c>
      <c r="C32" s="2">
        <f>ROUND(AVERAGE('statistics-M4'!$I$70:$I$80)/365.25,3)</f>
        <v>2.4489999999999998</v>
      </c>
      <c r="D32" s="2">
        <f>ROUND(AVERAGE('statistics-M5'!$I$70:$I$80)/365.25,3)</f>
        <v>4.4509999999999996</v>
      </c>
      <c r="E32" s="2">
        <f>ROUND(AVERAGE('statistics-M6'!$I$70:$I$80)/365.25,3)</f>
        <v>13.782</v>
      </c>
      <c r="F32" s="2" t="e">
        <f>ROUND(AVERAGE('statistics-M7'!$I$70:$I$80)/365.25,3)</f>
        <v>#DIV/0!</v>
      </c>
      <c r="G32" s="2" t="e">
        <f>ROUND(AVERAGE('statistics-M8'!$I$70:$I$80)/365.25,3)</f>
        <v>#DIV/0!</v>
      </c>
    </row>
    <row r="33" spans="2:7" x14ac:dyDescent="0.35">
      <c r="B33" t="s">
        <v>49</v>
      </c>
      <c r="C33" s="2">
        <f>ROUND(AVERAGE('statistics-M4'!$F$70:$F$80)/365.25,3)</f>
        <v>0.626</v>
      </c>
      <c r="D33" s="2">
        <f>ROUND(AVERAGE('statistics-M5'!$F$70:$F$80)/365.25,3)</f>
        <v>0.78100000000000003</v>
      </c>
      <c r="E33" s="2">
        <f>ROUND(AVERAGE('statistics-M6'!$F$70:$F$80)/365.25,3)</f>
        <v>4.3319999999999999</v>
      </c>
      <c r="F33" s="2" t="e">
        <f>ROUND(AVERAGE('statistics-M7'!$F$70:$F$80)/365.25,3)</f>
        <v>#DIV/0!</v>
      </c>
      <c r="G33" s="2" t="e">
        <f>ROUND(AVERAGE('statistics-M8'!$F$70:$F$80)/365.25,3)</f>
        <v>#DIV/0!</v>
      </c>
    </row>
    <row r="34" spans="2:7" x14ac:dyDescent="0.35">
      <c r="B34" t="s">
        <v>50</v>
      </c>
      <c r="C34" s="2">
        <f>ROUND(AVERAGE('statistics-M4'!$J$70:$J$80)/365.25,3)</f>
        <v>1.4370000000000001</v>
      </c>
      <c r="D34" s="2">
        <f>ROUND(AVERAGE('statistics-M5'!$J$70:$J$80)/365.25,3)</f>
        <v>2.601</v>
      </c>
      <c r="E34" s="2">
        <f>ROUND(AVERAGE('statistics-M6'!$J$70:$J$80)/365.25,3)</f>
        <v>11.573</v>
      </c>
      <c r="F34" s="2" t="e">
        <f>ROUND(AVERAGE('statistics-M7'!$J$70:$J$80)/365.25,3)</f>
        <v>#DIV/0!</v>
      </c>
      <c r="G34" s="2" t="e">
        <f>ROUND(AVERAGE('statistics-M8'!$J$70:$J$80)/365.25,3)</f>
        <v>#DIV/0!</v>
      </c>
    </row>
    <row r="35" spans="2:7" x14ac:dyDescent="0.35">
      <c r="B35" t="s">
        <v>7</v>
      </c>
      <c r="C35" s="2">
        <f>ROUND(AVERAGE(NFFT_All!$C$60:$C$69),3)</f>
        <v>7.048</v>
      </c>
      <c r="D35" s="2">
        <f>ROUND(AVERAGE(NFFT_All!$D$60:$D$69),3)</f>
        <v>7.69</v>
      </c>
      <c r="E35" s="2" t="e">
        <f>ROUND(AVERAGE(NFFT_All!$E$60:$E$69),3)</f>
        <v>#DIV/0!</v>
      </c>
      <c r="F35" s="2" t="e">
        <f>ROUND(AVERAGE(NFFT_All!$F$60:$F$69),3)</f>
        <v>#DIV/0!</v>
      </c>
      <c r="G35" s="2" t="e">
        <f>ROUND(AVERAGE(NFFT_All!$G$60:$G$69),3)</f>
        <v>#DIV/0!</v>
      </c>
    </row>
    <row r="36" spans="2:7" x14ac:dyDescent="0.35">
      <c r="B36" t="s">
        <v>8</v>
      </c>
      <c r="C36" s="2">
        <f>ROUND(AVERAGE(LSP_All!$C$60:$C$69),3)</f>
        <v>7.8479999999999999</v>
      </c>
      <c r="D36" s="2">
        <f>ROUND(AVERAGE(LSP_All!$D$60:$D$69),3)</f>
        <v>13.268000000000001</v>
      </c>
      <c r="E36" s="2" t="e">
        <f>ROUND(AVERAGE(LSP_All!$E$60:$E$69),3)</f>
        <v>#DIV/0!</v>
      </c>
      <c r="F36" s="2" t="e">
        <f>ROUND(AVERAGE(LSP_All!$F$60:$F$69),3)</f>
        <v>#DIV/0!</v>
      </c>
      <c r="G36" s="2" t="e">
        <f>ROUND(AVERAGE(LSP_All!$G$60:$G$69),3)</f>
        <v>#DIV/0!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399DB-1C42-405D-8CE4-FCBAACFF9FF6}">
  <dimension ref="A1:Y70"/>
  <sheetViews>
    <sheetView topLeftCell="A31" workbookViewId="0">
      <selection activeCell="G38" sqref="G38:G52"/>
    </sheetView>
  </sheetViews>
  <sheetFormatPr defaultRowHeight="14.5" x14ac:dyDescent="0.35"/>
  <cols>
    <col min="1" max="1" width="16.6328125" bestFit="1" customWidth="1"/>
    <col min="2" max="2" width="11.26953125" bestFit="1" customWidth="1"/>
    <col min="3" max="7" width="6.81640625" bestFit="1" customWidth="1"/>
    <col min="9" max="13" width="10.36328125" bestFit="1" customWidth="1"/>
    <col min="15" max="19" width="10.36328125" bestFit="1" customWidth="1"/>
    <col min="21" max="25" width="10.36328125" bestFit="1" customWidth="1"/>
  </cols>
  <sheetData>
    <row r="1" spans="1:25" x14ac:dyDescent="0.35">
      <c r="A1" t="s">
        <v>0</v>
      </c>
      <c r="B1" t="s">
        <v>1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  <c r="I1" t="s">
        <v>82</v>
      </c>
      <c r="J1" t="s">
        <v>83</v>
      </c>
      <c r="K1" t="s">
        <v>84</v>
      </c>
      <c r="L1" t="s">
        <v>85</v>
      </c>
      <c r="M1" t="s">
        <v>86</v>
      </c>
      <c r="O1" t="s">
        <v>87</v>
      </c>
      <c r="P1" t="s">
        <v>88</v>
      </c>
      <c r="Q1" t="s">
        <v>89</v>
      </c>
      <c r="R1" t="s">
        <v>90</v>
      </c>
      <c r="S1" t="s">
        <v>91</v>
      </c>
      <c r="U1" t="s">
        <v>92</v>
      </c>
      <c r="V1" t="s">
        <v>93</v>
      </c>
      <c r="W1" t="s">
        <v>94</v>
      </c>
      <c r="X1" t="s">
        <v>95</v>
      </c>
      <c r="Y1" t="s">
        <v>96</v>
      </c>
    </row>
    <row r="2" spans="1:25" x14ac:dyDescent="0.35">
      <c r="A2" t="s">
        <v>9</v>
      </c>
      <c r="B2">
        <v>1</v>
      </c>
      <c r="C2">
        <v>1.9530000000000001</v>
      </c>
      <c r="D2">
        <v>1.9530000000000001</v>
      </c>
      <c r="E2">
        <v>1.95</v>
      </c>
      <c r="F2">
        <v>7.0529999999999999</v>
      </c>
      <c r="I2">
        <f>IF(ISBLANK(LSP_All[[#This Row],[M4+]]),"",ABS(LSP_All[[#This Row],[M4+]]-(statistics_M4[[#This Row],[mean_gap]]/365)))</f>
        <v>1.070156815786953</v>
      </c>
      <c r="J2">
        <f>IF(ISBLANK(LSP_All[[#This Row],[M5+]]),"",ABS(LSP_All[[#This Row],[M5+]]-(statistics_M5[[#This Row],[mean_gap]]/365)))</f>
        <v>1.070156815786953</v>
      </c>
      <c r="K2">
        <f>IF(ISBLANK(LSP_All[[#This Row],[M6+]]),"",ABS(LSP_All[[#This Row],[M6+]]-(statistics_M6[[#This Row],[mean_gap]]/365)))</f>
        <v>1.0524070450097847</v>
      </c>
      <c r="L2">
        <f>IF(ISBLANK(LSP_All[[#This Row],[M7+]]),"",ABS(LSP_All[[#This Row],[M7+]]-(statistics_M7[[#This Row],[mean_gap]]/365)))</f>
        <v>5.2578140900195693</v>
      </c>
      <c r="M2" t="str">
        <f>IF(ISBLANK(LSP_All[[#This Row],[M8+]]),"",ABS(LSP_All[[#This Row],[M8+]]-(statistics_M8[[#This Row],[mean_gap]]/365)))</f>
        <v/>
      </c>
      <c r="O2">
        <f>IF(ISBLANK(LSP_All[[#This Row],[M4+]]),"",ABS(LSP_All[[#This Row],[M4+]]-(statistics_M4[[#This Row],[exact_mode]]/365)))</f>
        <v>1.4214931506849315</v>
      </c>
      <c r="P2">
        <f>IF(ISBLANK(LSP_All[[#This Row],[M5+]]),"",ABS(LSP_All[[#This Row],[M5+]]-(statistics_M5[[#This Row],[exact_mode]]/365)))</f>
        <v>1.4214931506849315</v>
      </c>
      <c r="Q2">
        <f>IF(ISBLANK(LSP_All[[#This Row],[M6+]]),"",ABS(LSP_All[[#This Row],[M6+]]-(statistics_M6[[#This Row],[exact_mode]]/365)))</f>
        <v>1.4184931506849314</v>
      </c>
      <c r="R2">
        <f>IF(ISBLANK(LSP_All[[#This Row],[M7+]]),"",ABS(LSP_All[[#This Row],[M7+]]-(statistics_M7[[#This Row],[exact_mode]]/365)))</f>
        <v>6.5187534246575343</v>
      </c>
      <c r="S2" t="str">
        <f>IF(ISBLANK(LSP_All[[#This Row],[M8+]]),"",ABS(LSP_All[[#This Row],[M8+]]-(statistics_M8[[#This Row],[exact_mode]]/365)))</f>
        <v/>
      </c>
      <c r="U2">
        <f>IF(ISBLANK(LSP_All[[#This Row],[M4+]]),"",ABS(LSP_All[[#This Row],[M4+]]-(statistics_M4[[#This Row],[median_gap]]/365)))</f>
        <v>1.142041095890411</v>
      </c>
      <c r="V2">
        <f>IF(ISBLANK(LSP_All[[#This Row],[M5+]]),"",ABS(LSP_All[[#This Row],[M5+]]-(statistics_M5[[#This Row],[median_gap]]/365)))</f>
        <v>1.142041095890411</v>
      </c>
      <c r="W2">
        <f>IF(ISBLANK(LSP_All[[#This Row],[M6+]]),"",ABS(LSP_All[[#This Row],[M6+]]-(statistics_M6[[#This Row],[median_gap]]/365)))</f>
        <v>1.1253424657534246</v>
      </c>
      <c r="X2">
        <f>IF(ISBLANK(LSP_All[[#This Row],[M7+]]),"",ABS(LSP_All[[#This Row],[M7+]]-(statistics_M7[[#This Row],[median_gap]]/365)))</f>
        <v>5.7543698630136983</v>
      </c>
      <c r="Y2" t="str">
        <f>IF(ISBLANK(LSP_All[[#This Row],[M8+]]),"",ABS(LSP_All[[#This Row],[M8+]]-(statistics_M8[[#This Row],[median_gap]]/365)))</f>
        <v/>
      </c>
    </row>
    <row r="3" spans="1:25" x14ac:dyDescent="0.35">
      <c r="A3" t="s">
        <v>9</v>
      </c>
      <c r="B3">
        <v>2</v>
      </c>
      <c r="C3">
        <v>4.5620000000000003</v>
      </c>
      <c r="D3">
        <v>4.5620000000000003</v>
      </c>
      <c r="E3">
        <v>8.9909999999999997</v>
      </c>
      <c r="F3">
        <v>23.655000000000001</v>
      </c>
      <c r="I3">
        <f>IF(ISBLANK(LSP_All[[#This Row],[M4+]]),"",ABS(LSP_All[[#This Row],[M4+]]-(statistics_M4[[#This Row],[mean_gap]]/365)))</f>
        <v>3.5921582244876289</v>
      </c>
      <c r="J3">
        <f>IF(ISBLANK(LSP_All[[#This Row],[M5+]]),"",ABS(LSP_All[[#This Row],[M5+]]-(statistics_M5[[#This Row],[mean_gap]]/365)))</f>
        <v>3.5921582244876289</v>
      </c>
      <c r="K3">
        <f>IF(ISBLANK(LSP_All[[#This Row],[M6+]]),"",ABS(LSP_All[[#This Row],[M6+]]-(statistics_M6[[#This Row],[mean_gap]]/365)))</f>
        <v>7.8935474645517898</v>
      </c>
      <c r="L3">
        <f>IF(ISBLANK(LSP_All[[#This Row],[M7+]]),"",ABS(LSP_All[[#This Row],[M7+]]-(statistics_M7[[#This Row],[mean_gap]]/365)))</f>
        <v>18.054626400996263</v>
      </c>
      <c r="M3" t="str">
        <f>IF(ISBLANK(LSP_All[[#This Row],[M8+]]),"",ABS(LSP_All[[#This Row],[M8+]]-(statistics_M8[[#This Row],[mean_gap]]/365)))</f>
        <v/>
      </c>
      <c r="O3">
        <f>IF(ISBLANK(LSP_All[[#This Row],[M4+]]),"",ABS(LSP_All[[#This Row],[M4+]]-(statistics_M4[[#This Row],[exact_mode]]/365)))</f>
        <v>4.0195342465753425</v>
      </c>
      <c r="P3">
        <f>IF(ISBLANK(LSP_All[[#This Row],[M5+]]),"",ABS(LSP_All[[#This Row],[M5+]]-(statistics_M5[[#This Row],[exact_mode]]/365)))</f>
        <v>4.0195342465753425</v>
      </c>
      <c r="Q3">
        <f>IF(ISBLANK(LSP_All[[#This Row],[M6+]]),"",ABS(LSP_All[[#This Row],[M6+]]-(statistics_M6[[#This Row],[exact_mode]]/365)))</f>
        <v>8.4485342465753419</v>
      </c>
      <c r="R3">
        <f>IF(ISBLANK(LSP_All[[#This Row],[M7+]]),"",ABS(LSP_All[[#This Row],[M7+]]-(statistics_M7[[#This Row],[exact_mode]]/365)))</f>
        <v>23.148150684931508</v>
      </c>
      <c r="S3" t="str">
        <f>IF(ISBLANK(LSP_All[[#This Row],[M8+]]),"",ABS(LSP_All[[#This Row],[M8+]]-(statistics_M8[[#This Row],[exact_mode]]/365)))</f>
        <v/>
      </c>
      <c r="U3">
        <f>IF(ISBLANK(LSP_All[[#This Row],[M4+]]),"",ABS(LSP_All[[#This Row],[M4+]]-(statistics_M4[[#This Row],[median_gap]]/365)))</f>
        <v>3.7346027397260277</v>
      </c>
      <c r="V3">
        <f>IF(ISBLANK(LSP_All[[#This Row],[M5+]]),"",ABS(LSP_All[[#This Row],[M5+]]-(statistics_M5[[#This Row],[median_gap]]/365)))</f>
        <v>3.7346027397260277</v>
      </c>
      <c r="W3">
        <f>IF(ISBLANK(LSP_All[[#This Row],[M6+]]),"",ABS(LSP_All[[#This Row],[M6+]]-(statistics_M6[[#This Row],[median_gap]]/365)))</f>
        <v>7.9964794520547944</v>
      </c>
      <c r="X3">
        <f>IF(ISBLANK(LSP_All[[#This Row],[M7+]]),"",ABS(LSP_All[[#This Row],[M7+]]-(statistics_M7[[#This Row],[median_gap]]/365)))</f>
        <v>20.348150684931507</v>
      </c>
      <c r="Y3" t="str">
        <f>IF(ISBLANK(LSP_All[[#This Row],[M8+]]),"",ABS(LSP_All[[#This Row],[M8+]]-(statistics_M8[[#This Row],[median_gap]]/365)))</f>
        <v/>
      </c>
    </row>
    <row r="4" spans="1:25" x14ac:dyDescent="0.35">
      <c r="A4" t="s">
        <v>9</v>
      </c>
      <c r="B4">
        <v>3</v>
      </c>
      <c r="C4">
        <v>18.260999999999999</v>
      </c>
      <c r="D4">
        <v>14.39</v>
      </c>
      <c r="I4">
        <f>IF(ISBLANK(LSP_All[[#This Row],[M4+]]),"",ABS(LSP_All[[#This Row],[M4+]]-(statistics_M4[[#This Row],[mean_gap]]/365)))</f>
        <v>14.73832115677321</v>
      </c>
      <c r="J4">
        <f>IF(ISBLANK(LSP_All[[#This Row],[M5+]]),"",ABS(LSP_All[[#This Row],[M5+]]-(statistics_M5[[#This Row],[mean_gap]]/365)))</f>
        <v>8.04917808219178</v>
      </c>
      <c r="K4" t="str">
        <f>IF(ISBLANK(LSP_All[[#This Row],[M6+]]),"",ABS(LSP_All[[#This Row],[M6+]]-(statistics_M6[[#This Row],[mean_gap]]/365)))</f>
        <v/>
      </c>
      <c r="L4" t="str">
        <f>IF(ISBLANK(LSP_All[[#This Row],[M7+]]),"",ABS(LSP_All[[#This Row],[M7+]]-(statistics_M7[[#This Row],[mean_gap]]/365)))</f>
        <v/>
      </c>
      <c r="M4" t="str">
        <f>IF(ISBLANK(LSP_All[[#This Row],[M8+]]),"",ABS(LSP_All[[#This Row],[M8+]]-(statistics_M8[[#This Row],[mean_gap]]/365)))</f>
        <v/>
      </c>
      <c r="O4">
        <f>IF(ISBLANK(LSP_All[[#This Row],[M4+]]),"",ABS(LSP_All[[#This Row],[M4+]]-(statistics_M4[[#This Row],[exact_mode]]/365)))</f>
        <v>17.74045205479452</v>
      </c>
      <c r="P4">
        <f>IF(ISBLANK(LSP_All[[#This Row],[M5+]]),"",ABS(LSP_All[[#This Row],[M5+]]-(statistics_M5[[#This Row],[exact_mode]]/365)))</f>
        <v>13.869452054794522</v>
      </c>
      <c r="Q4" t="str">
        <f>IF(ISBLANK(LSP_All[[#This Row],[M6+]]),"",ABS(LSP_All[[#This Row],[M6+]]-(statistics_M6[[#This Row],[exact_mode]]/365)))</f>
        <v/>
      </c>
      <c r="R4" t="str">
        <f>IF(ISBLANK(LSP_All[[#This Row],[M7+]]),"",ABS(LSP_All[[#This Row],[M7+]]-(statistics_M7[[#This Row],[exact_mode]]/365)))</f>
        <v/>
      </c>
      <c r="S4" t="str">
        <f>IF(ISBLANK(LSP_All[[#This Row],[M8+]]),"",ABS(LSP_All[[#This Row],[M8+]]-(statistics_M8[[#This Row],[exact_mode]]/365)))</f>
        <v/>
      </c>
      <c r="U4">
        <f>IF(ISBLANK(LSP_All[[#This Row],[M4+]]),"",ABS(LSP_All[[#This Row],[M4+]]-(statistics_M4[[#This Row],[median_gap]]/365)))</f>
        <v>16.959630136986302</v>
      </c>
      <c r="V4">
        <f>IF(ISBLANK(LSP_All[[#This Row],[M5+]]),"",ABS(LSP_All[[#This Row],[M5+]]-(statistics_M5[[#This Row],[median_gap]]/365)))</f>
        <v>9.4694520547945213</v>
      </c>
      <c r="W4" t="str">
        <f>IF(ISBLANK(LSP_All[[#This Row],[M6+]]),"",ABS(LSP_All[[#This Row],[M6+]]-(statistics_M6[[#This Row],[median_gap]]/365)))</f>
        <v/>
      </c>
      <c r="X4" t="str">
        <f>IF(ISBLANK(LSP_All[[#This Row],[M7+]]),"",ABS(LSP_All[[#This Row],[M7+]]-(statistics_M7[[#This Row],[median_gap]]/365)))</f>
        <v/>
      </c>
      <c r="Y4" t="str">
        <f>IF(ISBLANK(LSP_All[[#This Row],[M8+]]),"",ABS(LSP_All[[#This Row],[M8+]]-(statistics_M8[[#This Row],[median_gap]]/365)))</f>
        <v/>
      </c>
    </row>
    <row r="5" spans="1:25" x14ac:dyDescent="0.35">
      <c r="A5" t="s">
        <v>10</v>
      </c>
      <c r="B5">
        <v>1</v>
      </c>
      <c r="C5">
        <v>13.742000000000001</v>
      </c>
      <c r="D5">
        <v>13.742000000000001</v>
      </c>
      <c r="E5">
        <v>13.742000000000001</v>
      </c>
      <c r="F5">
        <v>10.997</v>
      </c>
      <c r="I5">
        <f>IF(ISBLANK(LSP_All[[#This Row],[M4+]]),"",ABS(LSP_All[[#This Row],[M4+]]-(statistics_M4[[#This Row],[mean_gap]]/365)))</f>
        <v>12.837812133072408</v>
      </c>
      <c r="J5">
        <f>IF(ISBLANK(LSP_All[[#This Row],[M5+]]),"",ABS(LSP_All[[#This Row],[M5+]]-(statistics_M5[[#This Row],[mean_gap]]/365)))</f>
        <v>12.837812133072408</v>
      </c>
      <c r="K5">
        <f>IF(ISBLANK(LSP_All[[#This Row],[M6+]]),"",ABS(LSP_All[[#This Row],[M6+]]-(statistics_M6[[#This Row],[mean_gap]]/365)))</f>
        <v>12.837812133072408</v>
      </c>
      <c r="L5">
        <f>IF(ISBLANK(LSP_All[[#This Row],[M7+]]),"",ABS(LSP_All[[#This Row],[M7+]]-(statistics_M7[[#This Row],[mean_gap]]/365)))</f>
        <v>9.183704270749395</v>
      </c>
      <c r="M5" t="str">
        <f>IF(ISBLANK(LSP_All[[#This Row],[M8+]]),"",ABS(LSP_All[[#This Row],[M8+]]-(statistics_M8[[#This Row],[mean_gap]]/365)))</f>
        <v/>
      </c>
      <c r="O5">
        <f>IF(ISBLANK(LSP_All[[#This Row],[M4+]]),"",ABS(LSP_All[[#This Row],[M4+]]-(statistics_M4[[#This Row],[exact_mode]]/365)))</f>
        <v>13.150219178082192</v>
      </c>
      <c r="P5">
        <f>IF(ISBLANK(LSP_All[[#This Row],[M5+]]),"",ABS(LSP_All[[#This Row],[M5+]]-(statistics_M5[[#This Row],[exact_mode]]/365)))</f>
        <v>13.150219178082192</v>
      </c>
      <c r="Q5">
        <f>IF(ISBLANK(LSP_All[[#This Row],[M6+]]),"",ABS(LSP_All[[#This Row],[M6+]]-(statistics_M6[[#This Row],[exact_mode]]/365)))</f>
        <v>13.150219178082192</v>
      </c>
      <c r="R5">
        <f>IF(ISBLANK(LSP_All[[#This Row],[M7+]]),"",ABS(LSP_All[[#This Row],[M7+]]-(statistics_M7[[#This Row],[exact_mode]]/365)))</f>
        <v>9.9339863013698633</v>
      </c>
      <c r="S5" t="str">
        <f>IF(ISBLANK(LSP_All[[#This Row],[M8+]]),"",ABS(LSP_All[[#This Row],[M8+]]-(statistics_M8[[#This Row],[exact_mode]]/365)))</f>
        <v/>
      </c>
      <c r="U5">
        <f>IF(ISBLANK(LSP_All[[#This Row],[M4+]]),"",ABS(LSP_All[[#This Row],[M4+]]-(statistics_M4[[#This Row],[median_gap]]/365)))</f>
        <v>12.958438356164384</v>
      </c>
      <c r="V5">
        <f>IF(ISBLANK(LSP_All[[#This Row],[M5+]]),"",ABS(LSP_All[[#This Row],[M5+]]-(statistics_M5[[#This Row],[median_gap]]/365)))</f>
        <v>12.958438356164384</v>
      </c>
      <c r="W5">
        <f>IF(ISBLANK(LSP_All[[#This Row],[M6+]]),"",ABS(LSP_All[[#This Row],[M6+]]-(statistics_M6[[#This Row],[median_gap]]/365)))</f>
        <v>12.958438356164384</v>
      </c>
      <c r="X5">
        <f>IF(ISBLANK(LSP_All[[#This Row],[M7+]]),"",ABS(LSP_All[[#This Row],[M7+]]-(statistics_M7[[#This Row],[median_gap]]/365)))</f>
        <v>9.7079589041095886</v>
      </c>
      <c r="Y5" t="str">
        <f>IF(ISBLANK(LSP_All[[#This Row],[M8+]]),"",ABS(LSP_All[[#This Row],[M8+]]-(statistics_M8[[#This Row],[median_gap]]/365)))</f>
        <v/>
      </c>
    </row>
    <row r="6" spans="1:25" x14ac:dyDescent="0.35">
      <c r="A6" t="s">
        <v>10</v>
      </c>
      <c r="B6">
        <v>2</v>
      </c>
      <c r="C6">
        <v>12.426</v>
      </c>
      <c r="D6">
        <v>3.149</v>
      </c>
      <c r="E6">
        <v>21.773</v>
      </c>
      <c r="I6">
        <f>IF(ISBLANK(LSP_All[[#This Row],[M4+]]),"",ABS(LSP_All[[#This Row],[M4+]]-(statistics_M4[[#This Row],[mean_gap]]/365)))</f>
        <v>11.181503070382616</v>
      </c>
      <c r="J6">
        <f>IF(ISBLANK(LSP_All[[#This Row],[M5+]]),"",ABS(LSP_All[[#This Row],[M5+]]-(statistics_M5[[#This Row],[mean_gap]]/365)))</f>
        <v>1.5798516974389518</v>
      </c>
      <c r="K6">
        <f>IF(ISBLANK(LSP_All[[#This Row],[M6+]]),"",ABS(LSP_All[[#This Row],[M6+]]-(statistics_M6[[#This Row],[mean_gap]]/365)))</f>
        <v>15.821069738480697</v>
      </c>
      <c r="L6" t="str">
        <f>IF(ISBLANK(LSP_All[[#This Row],[M7+]]),"",ABS(LSP_All[[#This Row],[M7+]]-(statistics_M7[[#This Row],[mean_gap]]/365)))</f>
        <v/>
      </c>
      <c r="M6" t="str">
        <f>IF(ISBLANK(LSP_All[[#This Row],[M8+]]),"",ABS(LSP_All[[#This Row],[M8+]]-(statistics_M8[[#This Row],[mean_gap]]/365)))</f>
        <v/>
      </c>
      <c r="O6">
        <f>IF(ISBLANK(LSP_All[[#This Row],[M4+]]),"",ABS(LSP_All[[#This Row],[M4+]]-(statistics_M4[[#This Row],[exact_mode]]/365)))</f>
        <v>11.927369863013698</v>
      </c>
      <c r="P6">
        <f>IF(ISBLANK(LSP_All[[#This Row],[M5+]]),"",ABS(LSP_All[[#This Row],[M5+]]-(statistics_M5[[#This Row],[exact_mode]]/365)))</f>
        <v>2.5818767123287669</v>
      </c>
      <c r="Q6">
        <f>IF(ISBLANK(LSP_All[[#This Row],[M6+]]),"",ABS(LSP_All[[#This Row],[M6+]]-(statistics_M6[[#This Row],[exact_mode]]/365)))</f>
        <v>21.090808219178083</v>
      </c>
      <c r="R6" t="str">
        <f>IF(ISBLANK(LSP_All[[#This Row],[M7+]]),"",ABS(LSP_All[[#This Row],[M7+]]-(statistics_M7[[#This Row],[exact_mode]]/365)))</f>
        <v/>
      </c>
      <c r="S6" t="str">
        <f>IF(ISBLANK(LSP_All[[#This Row],[M8+]]),"",ABS(LSP_All[[#This Row],[M8+]]-(statistics_M8[[#This Row],[exact_mode]]/365)))</f>
        <v/>
      </c>
      <c r="U6">
        <f>IF(ISBLANK(LSP_All[[#This Row],[M4+]]),"",ABS(LSP_All[[#This Row],[M4+]]-(statistics_M4[[#This Row],[median_gap]]/365)))</f>
        <v>11.435589041095891</v>
      </c>
      <c r="V6">
        <f>IF(ISBLANK(LSP_All[[#This Row],[M5+]]),"",ABS(LSP_All[[#This Row],[M5+]]-(statistics_M5[[#This Row],[median_gap]]/365)))</f>
        <v>1.9079041095890412</v>
      </c>
      <c r="W6">
        <f>IF(ISBLANK(LSP_All[[#This Row],[M6+]]),"",ABS(LSP_All[[#This Row],[M6+]]-(statistics_M6[[#This Row],[median_gap]]/365)))</f>
        <v>18.581219178082193</v>
      </c>
      <c r="X6" t="str">
        <f>IF(ISBLANK(LSP_All[[#This Row],[M7+]]),"",ABS(LSP_All[[#This Row],[M7+]]-(statistics_M7[[#This Row],[median_gap]]/365)))</f>
        <v/>
      </c>
      <c r="Y6" t="str">
        <f>IF(ISBLANK(LSP_All[[#This Row],[M8+]]),"",ABS(LSP_All[[#This Row],[M8+]]-(statistics_M8[[#This Row],[median_gap]]/365)))</f>
        <v/>
      </c>
    </row>
    <row r="7" spans="1:25" x14ac:dyDescent="0.35">
      <c r="A7" t="s">
        <v>10</v>
      </c>
      <c r="B7">
        <v>3</v>
      </c>
      <c r="C7">
        <v>5.0069999999999997</v>
      </c>
      <c r="D7">
        <v>8.3040000000000003</v>
      </c>
      <c r="I7">
        <f>IF(ISBLANK(LSP_All[[#This Row],[M4+]]),"",ABS(LSP_All[[#This Row],[M4+]]-(statistics_M4[[#This Row],[mean_gap]]/365)))</f>
        <v>2.7413036529680364</v>
      </c>
      <c r="J7">
        <f>IF(ISBLANK(LSP_All[[#This Row],[M5+]]),"",ABS(LSP_All[[#This Row],[M5+]]-(statistics_M5[[#This Row],[mean_gap]]/365)))</f>
        <v>5.0308835616438365</v>
      </c>
      <c r="K7" t="str">
        <f>IF(ISBLANK(LSP_All[[#This Row],[M6+]]),"",ABS(LSP_All[[#This Row],[M6+]]-(statistics_M6[[#This Row],[mean_gap]]/365)))</f>
        <v/>
      </c>
      <c r="L7" t="str">
        <f>IF(ISBLANK(LSP_All[[#This Row],[M7+]]),"",ABS(LSP_All[[#This Row],[M7+]]-(statistics_M7[[#This Row],[mean_gap]]/365)))</f>
        <v/>
      </c>
      <c r="M7" t="str">
        <f>IF(ISBLANK(LSP_All[[#This Row],[M8+]]),"",ABS(LSP_All[[#This Row],[M8+]]-(statistics_M8[[#This Row],[mean_gap]]/365)))</f>
        <v/>
      </c>
      <c r="O7">
        <f>IF(ISBLANK(LSP_All[[#This Row],[M4+]]),"",ABS(LSP_All[[#This Row],[M4+]]-(statistics_M4[[#This Row],[exact_mode]]/365)))</f>
        <v>4.3933013698630132</v>
      </c>
      <c r="P7">
        <f>IF(ISBLANK(LSP_All[[#This Row],[M5+]]),"",ABS(LSP_All[[#This Row],[M5+]]-(statistics_M5[[#This Row],[exact_mode]]/365)))</f>
        <v>7.1533150684931508</v>
      </c>
      <c r="Q7" t="str">
        <f>IF(ISBLANK(LSP_All[[#This Row],[M6+]]),"",ABS(LSP_All[[#This Row],[M6+]]-(statistics_M6[[#This Row],[exact_mode]]/365)))</f>
        <v/>
      </c>
      <c r="R7" t="str">
        <f>IF(ISBLANK(LSP_All[[#This Row],[M7+]]),"",ABS(LSP_All[[#This Row],[M7+]]-(statistics_M7[[#This Row],[exact_mode]]/365)))</f>
        <v/>
      </c>
      <c r="S7" t="str">
        <f>IF(ISBLANK(LSP_All[[#This Row],[M8+]]),"",ABS(LSP_All[[#This Row],[M8+]]-(statistics_M8[[#This Row],[exact_mode]]/365)))</f>
        <v/>
      </c>
      <c r="U7">
        <f>IF(ISBLANK(LSP_All[[#This Row],[M4+]]),"",ABS(LSP_All[[#This Row],[M4+]]-(statistics_M4[[#This Row],[median_gap]]/365)))</f>
        <v>3.8741232876712326</v>
      </c>
      <c r="V7">
        <f>IF(ISBLANK(LSP_All[[#This Row],[M5+]]),"",ABS(LSP_All[[#This Row],[M5+]]-(statistics_M5[[#This Row],[median_gap]]/365)))</f>
        <v>6.8190684931506853</v>
      </c>
      <c r="W7" t="str">
        <f>IF(ISBLANK(LSP_All[[#This Row],[M6+]]),"",ABS(LSP_All[[#This Row],[M6+]]-(statistics_M6[[#This Row],[median_gap]]/365)))</f>
        <v/>
      </c>
      <c r="X7" t="str">
        <f>IF(ISBLANK(LSP_All[[#This Row],[M7+]]),"",ABS(LSP_All[[#This Row],[M7+]]-(statistics_M7[[#This Row],[median_gap]]/365)))</f>
        <v/>
      </c>
      <c r="Y7" t="str">
        <f>IF(ISBLANK(LSP_All[[#This Row],[M8+]]),"",ABS(LSP_All[[#This Row],[M8+]]-(statistics_M8[[#This Row],[median_gap]]/365)))</f>
        <v/>
      </c>
    </row>
    <row r="8" spans="1:25" x14ac:dyDescent="0.35">
      <c r="A8" t="s">
        <v>11</v>
      </c>
      <c r="B8">
        <v>1</v>
      </c>
      <c r="C8">
        <v>4.3819999999999997</v>
      </c>
      <c r="D8">
        <v>4.3819999999999997</v>
      </c>
      <c r="E8">
        <v>4.3979999999999997</v>
      </c>
      <c r="F8">
        <v>29.603000000000002</v>
      </c>
      <c r="I8">
        <f>IF(ISBLANK(LSP_All[[#This Row],[M4+]]),"",ABS(LSP_All[[#This Row],[M4+]]-(statistics_M4[[#This Row],[mean_gap]]/365)))</f>
        <v>3.5169695585996954</v>
      </c>
      <c r="J8">
        <f>IF(ISBLANK(LSP_All[[#This Row],[M5+]]),"",ABS(LSP_All[[#This Row],[M5+]]-(statistics_M5[[#This Row],[mean_gap]]/365)))</f>
        <v>3.5169695585996954</v>
      </c>
      <c r="K8">
        <f>IF(ISBLANK(LSP_All[[#This Row],[M6+]]),"",ABS(LSP_All[[#This Row],[M6+]]-(statistics_M6[[#This Row],[mean_gap]]/365)))</f>
        <v>3.4953595394083776</v>
      </c>
      <c r="L8">
        <f>IF(ISBLANK(LSP_All[[#This Row],[M7+]]),"",ABS(LSP_All[[#This Row],[M7+]]-(statistics_M7[[#This Row],[mean_gap]]/365)))</f>
        <v>27.62578756251359</v>
      </c>
      <c r="M8" t="str">
        <f>IF(ISBLANK(LSP_All[[#This Row],[M8+]]),"",ABS(LSP_All[[#This Row],[M8+]]-(statistics_M8[[#This Row],[mean_gap]]/365)))</f>
        <v/>
      </c>
      <c r="O8">
        <f>IF(ISBLANK(LSP_All[[#This Row],[M4+]]),"",ABS(LSP_All[[#This Row],[M4+]]-(statistics_M4[[#This Row],[exact_mode]]/365)))</f>
        <v>3.880630136986301</v>
      </c>
      <c r="P8">
        <f>IF(ISBLANK(LSP_All[[#This Row],[M5+]]),"",ABS(LSP_All[[#This Row],[M5+]]-(statistics_M5[[#This Row],[exact_mode]]/365)))</f>
        <v>3.880630136986301</v>
      </c>
      <c r="Q8">
        <f>IF(ISBLANK(LSP_All[[#This Row],[M6+]]),"",ABS(LSP_All[[#This Row],[M6+]]-(statistics_M6[[#This Row],[exact_mode]]/365)))</f>
        <v>3.896630136986301</v>
      </c>
      <c r="R8">
        <f>IF(ISBLANK(LSP_All[[#This Row],[M7+]]),"",ABS(LSP_All[[#This Row],[M7+]]-(statistics_M7[[#This Row],[exact_mode]]/365)))</f>
        <v>29.008479452054797</v>
      </c>
      <c r="S8" t="str">
        <f>IF(ISBLANK(LSP_All[[#This Row],[M8+]]),"",ABS(LSP_All[[#This Row],[M8+]]-(statistics_M8[[#This Row],[exact_mode]]/365)))</f>
        <v/>
      </c>
      <c r="U8">
        <f>IF(ISBLANK(LSP_All[[#This Row],[M4+]]),"",ABS(LSP_All[[#This Row],[M4+]]-(statistics_M4[[#This Row],[median_gap]]/365)))</f>
        <v>3.6354246575342462</v>
      </c>
      <c r="V8">
        <f>IF(ISBLANK(LSP_All[[#This Row],[M5+]]),"",ABS(LSP_All[[#This Row],[M5+]]-(statistics_M5[[#This Row],[median_gap]]/365)))</f>
        <v>3.6354246575342462</v>
      </c>
      <c r="W8">
        <f>IF(ISBLANK(LSP_All[[#This Row],[M6+]]),"",ABS(LSP_All[[#This Row],[M6+]]-(statistics_M6[[#This Row],[median_gap]]/365)))</f>
        <v>3.6500547945205475</v>
      </c>
      <c r="X8">
        <f>IF(ISBLANK(LSP_All[[#This Row],[M7+]]),"",ABS(LSP_All[[#This Row],[M7+]]-(statistics_M7[[#This Row],[median_gap]]/365)))</f>
        <v>28.019438356164386</v>
      </c>
      <c r="Y8" t="str">
        <f>IF(ISBLANK(LSP_All[[#This Row],[M8+]]),"",ABS(LSP_All[[#This Row],[M8+]]-(statistics_M8[[#This Row],[median_gap]]/365)))</f>
        <v/>
      </c>
    </row>
    <row r="9" spans="1:25" x14ac:dyDescent="0.35">
      <c r="A9" t="s">
        <v>11</v>
      </c>
      <c r="B9">
        <v>2</v>
      </c>
      <c r="I9" t="str">
        <f>IF(ISBLANK(LSP_All[[#This Row],[M4+]]),"",ABS(LSP_All[[#This Row],[M4+]]-(statistics_M4[[#This Row],[mean_gap]]/365)))</f>
        <v/>
      </c>
      <c r="J9" t="str">
        <f>IF(ISBLANK(LSP_All[[#This Row],[M5+]]),"",ABS(LSP_All[[#This Row],[M5+]]-(statistics_M5[[#This Row],[mean_gap]]/365)))</f>
        <v/>
      </c>
      <c r="K9" t="str">
        <f>IF(ISBLANK(LSP_All[[#This Row],[M6+]]),"",ABS(LSP_All[[#This Row],[M6+]]-(statistics_M6[[#This Row],[mean_gap]]/365)))</f>
        <v/>
      </c>
      <c r="L9" t="str">
        <f>IF(ISBLANK(LSP_All[[#This Row],[M7+]]),"",ABS(LSP_All[[#This Row],[M7+]]-(statistics_M7[[#This Row],[mean_gap]]/365)))</f>
        <v/>
      </c>
      <c r="M9" t="str">
        <f>IF(ISBLANK(LSP_All[[#This Row],[M8+]]),"",ABS(LSP_All[[#This Row],[M8+]]-(statistics_M8[[#This Row],[mean_gap]]/365)))</f>
        <v/>
      </c>
      <c r="O9" t="str">
        <f>IF(ISBLANK(LSP_All[[#This Row],[M4+]]),"",ABS(LSP_All[[#This Row],[M4+]]-(statistics_M4[[#This Row],[exact_mode]]/365)))</f>
        <v/>
      </c>
      <c r="P9" t="str">
        <f>IF(ISBLANK(LSP_All[[#This Row],[M5+]]),"",ABS(LSP_All[[#This Row],[M5+]]-(statistics_M5[[#This Row],[exact_mode]]/365)))</f>
        <v/>
      </c>
      <c r="Q9" t="str">
        <f>IF(ISBLANK(LSP_All[[#This Row],[M6+]]),"",ABS(LSP_All[[#This Row],[M6+]]-(statistics_M6[[#This Row],[exact_mode]]/365)))</f>
        <v/>
      </c>
      <c r="R9" t="str">
        <f>IF(ISBLANK(LSP_All[[#This Row],[M7+]]),"",ABS(LSP_All[[#This Row],[M7+]]-(statistics_M7[[#This Row],[exact_mode]]/365)))</f>
        <v/>
      </c>
      <c r="S9" t="str">
        <f>IF(ISBLANK(LSP_All[[#This Row],[M8+]]),"",ABS(LSP_All[[#This Row],[M8+]]-(statistics_M8[[#This Row],[exact_mode]]/365)))</f>
        <v/>
      </c>
      <c r="U9" t="str">
        <f>IF(ISBLANK(LSP_All[[#This Row],[M4+]]),"",ABS(LSP_All[[#This Row],[M4+]]-(statistics_M4[[#This Row],[median_gap]]/365)))</f>
        <v/>
      </c>
      <c r="V9" t="str">
        <f>IF(ISBLANK(LSP_All[[#This Row],[M5+]]),"",ABS(LSP_All[[#This Row],[M5+]]-(statistics_M5[[#This Row],[median_gap]]/365)))</f>
        <v/>
      </c>
      <c r="W9" t="str">
        <f>IF(ISBLANK(LSP_All[[#This Row],[M6+]]),"",ABS(LSP_All[[#This Row],[M6+]]-(statistics_M6[[#This Row],[median_gap]]/365)))</f>
        <v/>
      </c>
      <c r="X9" t="str">
        <f>IF(ISBLANK(LSP_All[[#This Row],[M7+]]),"",ABS(LSP_All[[#This Row],[M7+]]-(statistics_M7[[#This Row],[median_gap]]/365)))</f>
        <v/>
      </c>
      <c r="Y9" t="str">
        <f>IF(ISBLANK(LSP_All[[#This Row],[M8+]]),"",ABS(LSP_All[[#This Row],[M8+]]-(statistics_M8[[#This Row],[median_gap]]/365)))</f>
        <v/>
      </c>
    </row>
    <row r="10" spans="1:25" x14ac:dyDescent="0.35">
      <c r="A10" t="s">
        <v>12</v>
      </c>
      <c r="B10">
        <v>1</v>
      </c>
      <c r="C10">
        <v>38.445</v>
      </c>
      <c r="D10">
        <v>38.445</v>
      </c>
      <c r="E10">
        <v>38.445</v>
      </c>
      <c r="F10">
        <v>7.9470000000000001</v>
      </c>
      <c r="I10">
        <f>IF(ISBLANK(LSP_All[[#This Row],[M4+]]),"",ABS(LSP_All[[#This Row],[M4+]]-('statistics-M4'!$I11/365)))</f>
        <v>37.489175427418502</v>
      </c>
      <c r="J10">
        <f>IF(ISBLANK(LSP_All[[#This Row],[M5+]]),"",ABS(LSP_All[[#This Row],[M5+]]-('statistics-M5'!$I11/365)))</f>
        <v>37.489175427418502</v>
      </c>
      <c r="K10">
        <f>IF(ISBLANK(LSP_All[[#This Row],[M6+]]),"",ABS(LSP_All[[#This Row],[M6+]]-('statistics-M6'!$I11/365)))</f>
        <v>37.450634114007954</v>
      </c>
      <c r="L10">
        <f>IF(ISBLANK(LSP_All[[#This Row],[M7+]]),"",ABS(LSP_All[[#This Row],[M7+]]-('statistics-M7'!$I11/365)))</f>
        <v>4.2105948526359489</v>
      </c>
      <c r="M10" t="str">
        <f>IF(ISBLANK(LSP_All[[#This Row],[M8+]]),"",ABS(LSP_All[[#This Row],[M8+]]-('statistics-M8'!$I11/365)))</f>
        <v/>
      </c>
      <c r="O10">
        <f>IF(ISBLANK(LSP_All[[#This Row],[M4+]]),"",ABS(LSP_All[[#This Row],[M4+]]-('statistics-M4'!$F11/365)))</f>
        <v>37.836780821917806</v>
      </c>
      <c r="P10">
        <f>IF(ISBLANK(LSP_All[[#This Row],[M5+]]),"",ABS(LSP_All[[#This Row],[M5+]]-('statistics-M5'!$F11/365)))</f>
        <v>37.836780821917806</v>
      </c>
      <c r="Q10">
        <f>IF(ISBLANK(LSP_All[[#This Row],[M6+]]),"",ABS(LSP_All[[#This Row],[M6+]]-('statistics-M6'!$F11/365)))</f>
        <v>37.836780821917806</v>
      </c>
      <c r="R10">
        <f>IF(ISBLANK(LSP_All[[#This Row],[M7+]]),"",ABS(LSP_All[[#This Row],[M7+]]-('statistics-M7'!$F11/365)))</f>
        <v>7.2949452054794524</v>
      </c>
      <c r="S10" t="str">
        <f>IF(ISBLANK(LSP_All[[#This Row],[M8+]]),"",ABS(LSP_All[[#This Row],[M8+]]-('statistics-M8'!$F11/365)))</f>
        <v/>
      </c>
      <c r="U10">
        <f>IF(ISBLANK(LSP_All[[#This Row],[M4+]]),"",ABS(LSP_All[[#This Row],[M4+]]-('statistics-M4'!$J11/365)))</f>
        <v>37.579246575342466</v>
      </c>
      <c r="V10">
        <f>IF(ISBLANK(LSP_All[[#This Row],[M5+]]),"",ABS(LSP_All[[#This Row],[M5+]]-('statistics-M5'!$J11/365)))</f>
        <v>37.579246575342466</v>
      </c>
      <c r="W10">
        <f>IF(ISBLANK(LSP_All[[#This Row],[M6+]]),"",ABS(LSP_All[[#This Row],[M6+]]-('statistics-M6'!$J11/365)))</f>
        <v>37.531301369863016</v>
      </c>
      <c r="X10">
        <f>IF(ISBLANK(LSP_All[[#This Row],[M7+]]),"",ABS(LSP_All[[#This Row],[M7+]]-('statistics-M7'!$J11/365)))</f>
        <v>5.4237123287671238</v>
      </c>
      <c r="Y10" t="str">
        <f>IF(ISBLANK(LSP_All[[#This Row],[M8+]]),"",ABS(LSP_All[[#This Row],[M8+]]-('statistics-M8'!$J11/365)))</f>
        <v/>
      </c>
    </row>
    <row r="11" spans="1:25" x14ac:dyDescent="0.35">
      <c r="A11" t="s">
        <v>13</v>
      </c>
      <c r="B11">
        <v>1</v>
      </c>
      <c r="C11">
        <v>5.7249999999999996</v>
      </c>
      <c r="D11">
        <v>5.7249999999999996</v>
      </c>
      <c r="E11">
        <v>5.7249999999999996</v>
      </c>
      <c r="F11">
        <v>9.5210000000000008</v>
      </c>
      <c r="I11">
        <f>IF(ISBLANK(LSP_All[[#This Row],[M4+]]),"",ABS(LSP_All[[#This Row],[M4+]]-('statistics-M4'!$I14/365)))</f>
        <v>4.8286790606653618</v>
      </c>
      <c r="J11">
        <f>IF(ISBLANK(LSP_All[[#This Row],[M5+]]),"",ABS(LSP_All[[#This Row],[M5+]]-('statistics-M5'!$I14/365)))</f>
        <v>4.8286790606653618</v>
      </c>
      <c r="K11">
        <f>IF(ISBLANK(LSP_All[[#This Row],[M6+]]),"",ABS(LSP_All[[#This Row],[M6+]]-('statistics-M6'!$I14/365)))</f>
        <v>4.8156889021242799</v>
      </c>
      <c r="L11">
        <f>IF(ISBLANK(LSP_All[[#This Row],[M7+]]),"",ABS(LSP_All[[#This Row],[M7+]]-('statistics-M7'!$I14/365)))</f>
        <v>6.8645733022442439</v>
      </c>
      <c r="M11" t="str">
        <f>IF(ISBLANK(LSP_All[[#This Row],[M8+]]),"",ABS(LSP_All[[#This Row],[M8+]]-('statistics-M8'!$I14/365)))</f>
        <v/>
      </c>
      <c r="O11">
        <f>IF(ISBLANK(LSP_All[[#This Row],[M4+]]),"",ABS(LSP_All[[#This Row],[M4+]]-('statistics-M4'!$F14/365)))</f>
        <v>5.2291095890410952</v>
      </c>
      <c r="P11">
        <f>IF(ISBLANK(LSP_All[[#This Row],[M5+]]),"",ABS(LSP_All[[#This Row],[M5+]]-('statistics-M5'!$F14/365)))</f>
        <v>5.2291095890410952</v>
      </c>
      <c r="Q11">
        <f>IF(ISBLANK(LSP_All[[#This Row],[M6+]]),"",ABS(LSP_All[[#This Row],[M6+]]-('statistics-M6'!$F14/365)))</f>
        <v>5.2291095890410952</v>
      </c>
      <c r="R11">
        <f>IF(ISBLANK(LSP_All[[#This Row],[M7+]]),"",ABS(LSP_All[[#This Row],[M7+]]-('statistics-M7'!$F14/365)))</f>
        <v>8.9593561643835624</v>
      </c>
      <c r="S11" t="str">
        <f>IF(ISBLANK(LSP_All[[#This Row],[M8+]]),"",ABS(LSP_All[[#This Row],[M8+]]-('statistics-M8'!$F14/365)))</f>
        <v/>
      </c>
      <c r="U11">
        <f>IF(ISBLANK(LSP_All[[#This Row],[M4+]]),"",ABS(LSP_All[[#This Row],[M4+]]-('statistics-M4'!$J14/365)))</f>
        <v>4.8825342465753421</v>
      </c>
      <c r="V11">
        <f>IF(ISBLANK(LSP_All[[#This Row],[M5+]]),"",ABS(LSP_All[[#This Row],[M5+]]-('statistics-M5'!$J14/365)))</f>
        <v>4.8825342465753421</v>
      </c>
      <c r="W11">
        <f>IF(ISBLANK(LSP_All[[#This Row],[M6+]]),"",ABS(LSP_All[[#This Row],[M6+]]-('statistics-M6'!$J14/365)))</f>
        <v>4.87431506849315</v>
      </c>
      <c r="X11">
        <f>IF(ISBLANK(LSP_All[[#This Row],[M7+]]),"",ABS(LSP_All[[#This Row],[M7+]]-('statistics-M7'!$J14/365)))</f>
        <v>7.6662054794520555</v>
      </c>
      <c r="Y11" t="str">
        <f>IF(ISBLANK(LSP_All[[#This Row],[M8+]]),"",ABS(LSP_All[[#This Row],[M8+]]-('statistics-M8'!$J14/365)))</f>
        <v/>
      </c>
    </row>
    <row r="12" spans="1:25" x14ac:dyDescent="0.35">
      <c r="A12" t="s">
        <v>13</v>
      </c>
      <c r="B12">
        <v>2</v>
      </c>
      <c r="C12">
        <v>2.2160000000000002</v>
      </c>
      <c r="D12">
        <v>2.6989999999999998</v>
      </c>
      <c r="E12">
        <v>11.781000000000001</v>
      </c>
      <c r="I12">
        <f>IF(ISBLANK(LSP_All[[#This Row],[M4+]]),"",ABS(LSP_All[[#This Row],[M4+]]-('statistics-M4'!$I15/365)))</f>
        <v>1.3397633181126332</v>
      </c>
      <c r="J12">
        <f>IF(ISBLANK(LSP_All[[#This Row],[M5+]]),"",ABS(LSP_All[[#This Row],[M5+]]-('statistics-M5'!$I15/365)))</f>
        <v>1.6882178524083074</v>
      </c>
      <c r="K12">
        <f>IF(ISBLANK(LSP_All[[#This Row],[M6+]]),"",ABS(LSP_All[[#This Row],[M6+]]-('statistics-M6'!$I15/365)))</f>
        <v>9.6819519387044348</v>
      </c>
      <c r="L12" t="str">
        <f>IF(ISBLANK(LSP_All[[#This Row],[M7+]]),"",ABS(LSP_All[[#This Row],[M7+]]-('statistics-M7'!$I15/365)))</f>
        <v/>
      </c>
      <c r="M12" t="str">
        <f>IF(ISBLANK(LSP_All[[#This Row],[M8+]]),"",ABS(LSP_All[[#This Row],[M8+]]-('statistics-M8'!$I15/365)))</f>
        <v/>
      </c>
      <c r="O12">
        <f>IF(ISBLANK(LSP_All[[#This Row],[M4+]]),"",ABS(LSP_All[[#This Row],[M4+]]-('statistics-M4'!$F15/365)))</f>
        <v>1.7146301369863015</v>
      </c>
      <c r="P12">
        <f>IF(ISBLANK(LSP_All[[#This Row],[M5+]]),"",ABS(LSP_All[[#This Row],[M5+]]-('statistics-M5'!$F15/365)))</f>
        <v>2.1976301369863012</v>
      </c>
      <c r="Q12">
        <f>IF(ISBLANK(LSP_All[[#This Row],[M6+]]),"",ABS(LSP_All[[#This Row],[M6+]]-('statistics-M6'!$F15/365)))</f>
        <v>11.038534246575344</v>
      </c>
      <c r="R12" t="str">
        <f>IF(ISBLANK(LSP_All[[#This Row],[M7+]]),"",ABS(LSP_All[[#This Row],[M7+]]-('statistics-M7'!$F15/365)))</f>
        <v/>
      </c>
      <c r="S12" t="str">
        <f>IF(ISBLANK(LSP_All[[#This Row],[M8+]]),"",ABS(LSP_All[[#This Row],[M8+]]-('statistics-M8'!$F15/365)))</f>
        <v/>
      </c>
      <c r="U12">
        <f>IF(ISBLANK(LSP_All[[#This Row],[M4+]]),"",ABS(LSP_All[[#This Row],[M4+]]-('statistics-M4'!$J15/365)))</f>
        <v>1.4064109589041098</v>
      </c>
      <c r="V12">
        <f>IF(ISBLANK(LSP_All[[#This Row],[M5+]]),"",ABS(LSP_All[[#This Row],[M5+]]-('statistics-M5'!$J15/365)))</f>
        <v>1.8524246575342465</v>
      </c>
      <c r="W12">
        <f>IF(ISBLANK(LSP_All[[#This Row],[M6+]]),"",ABS(LSP_All[[#This Row],[M6+]]-('statistics-M6'!$J15/365)))</f>
        <v>10.098808219178082</v>
      </c>
      <c r="X12" t="str">
        <f>IF(ISBLANK(LSP_All[[#This Row],[M7+]]),"",ABS(LSP_All[[#This Row],[M7+]]-('statistics-M7'!$J15/365)))</f>
        <v/>
      </c>
      <c r="Y12" t="str">
        <f>IF(ISBLANK(LSP_All[[#This Row],[M8+]]),"",ABS(LSP_All[[#This Row],[M8+]]-('statistics-M8'!$J15/365)))</f>
        <v/>
      </c>
    </row>
    <row r="13" spans="1:25" x14ac:dyDescent="0.35">
      <c r="A13" t="s">
        <v>13</v>
      </c>
      <c r="B13">
        <v>3</v>
      </c>
      <c r="C13">
        <v>5.6630000000000003</v>
      </c>
      <c r="D13">
        <v>3.9319999999999999</v>
      </c>
      <c r="E13">
        <v>9.2010000000000005</v>
      </c>
      <c r="I13">
        <f>IF(ISBLANK(LSP_All[[#This Row],[M4+]]),"",ABS(LSP_All[[#This Row],[M4+]]-('statistics-M4'!$I16/365)))</f>
        <v>4.7051153233513858</v>
      </c>
      <c r="J13">
        <f>IF(ISBLANK(LSP_All[[#This Row],[M5+]]),"",ABS(LSP_All[[#This Row],[M5+]]-('statistics-M5'!$I16/365)))</f>
        <v>2.249845749671608</v>
      </c>
      <c r="K13">
        <f>IF(ISBLANK(LSP_All[[#This Row],[M6+]]),"",ABS(LSP_All[[#This Row],[M6+]]-('statistics-M6'!$I16/365)))</f>
        <v>4.4805662100456631</v>
      </c>
      <c r="L13" t="str">
        <f>IF(ISBLANK(LSP_All[[#This Row],[M7+]]),"",ABS(LSP_All[[#This Row],[M7+]]-('statistics-M7'!$I16/365)))</f>
        <v/>
      </c>
      <c r="M13" t="str">
        <f>IF(ISBLANK(LSP_All[[#This Row],[M8+]]),"",ABS(LSP_All[[#This Row],[M8+]]-('statistics-M8'!$I16/365)))</f>
        <v/>
      </c>
      <c r="O13">
        <f>IF(ISBLANK(LSP_All[[#This Row],[M4+]]),"",ABS(LSP_All[[#This Row],[M4+]]-('statistics-M4'!$F16/365)))</f>
        <v>4.8931369863013705</v>
      </c>
      <c r="P13">
        <f>IF(ISBLANK(LSP_All[[#This Row],[M5+]]),"",ABS(LSP_All[[#This Row],[M5+]]-('statistics-M5'!$F16/365)))</f>
        <v>3.2909041095890412</v>
      </c>
      <c r="Q13">
        <f>IF(ISBLANK(LSP_All[[#This Row],[M6+]]),"",ABS(LSP_All[[#This Row],[M6+]]-('statistics-M6'!$F16/365)))</f>
        <v>8.579082191780822</v>
      </c>
      <c r="R13" t="str">
        <f>IF(ISBLANK(LSP_All[[#This Row],[M7+]]),"",ABS(LSP_All[[#This Row],[M7+]]-('statistics-M7'!$F16/365)))</f>
        <v/>
      </c>
      <c r="S13" t="str">
        <f>IF(ISBLANK(LSP_All[[#This Row],[M8+]]),"",ABS(LSP_All[[#This Row],[M8+]]-('statistics-M8'!$F16/365)))</f>
        <v/>
      </c>
      <c r="U13">
        <f>IF(ISBLANK(LSP_All[[#This Row],[M4+]]),"",ABS(LSP_All[[#This Row],[M4+]]-('statistics-M4'!$J16/365)))</f>
        <v>4.830123287671233</v>
      </c>
      <c r="V13">
        <f>IF(ISBLANK(LSP_All[[#This Row],[M5+]]),"",ABS(LSP_All[[#This Row],[M5+]]-('statistics-M5'!$J16/365)))</f>
        <v>2.510082191780822</v>
      </c>
      <c r="W13">
        <f>IF(ISBLANK(LSP_All[[#This Row],[M6+]]),"",ABS(LSP_All[[#This Row],[M6+]]-('statistics-M6'!$J16/365)))</f>
        <v>6.366753424657535</v>
      </c>
      <c r="X13" t="str">
        <f>IF(ISBLANK(LSP_All[[#This Row],[M7+]]),"",ABS(LSP_All[[#This Row],[M7+]]-('statistics-M7'!$J16/365)))</f>
        <v/>
      </c>
      <c r="Y13" t="str">
        <f>IF(ISBLANK(LSP_All[[#This Row],[M8+]]),"",ABS(LSP_All[[#This Row],[M8+]]-('statistics-M8'!$J16/365)))</f>
        <v/>
      </c>
    </row>
    <row r="14" spans="1:25" x14ac:dyDescent="0.35">
      <c r="A14" t="s">
        <v>14</v>
      </c>
      <c r="B14">
        <v>1</v>
      </c>
      <c r="C14">
        <v>2.9489999999999998</v>
      </c>
      <c r="D14">
        <v>2.9489999999999998</v>
      </c>
      <c r="E14">
        <v>2.9420000000000002</v>
      </c>
      <c r="F14">
        <v>7.7119999999999997</v>
      </c>
      <c r="I14">
        <f>IF(ISBLANK(LSP_All[[#This Row],[M4+]]),"",ABS(LSP_All[[#This Row],[M4+]]-('statistics-M4'!$I17/365)))</f>
        <v>1.9487173298543161</v>
      </c>
      <c r="J14">
        <f>IF(ISBLANK(LSP_All[[#This Row],[M5+]]),"",ABS(LSP_All[[#This Row],[M5+]]-('statistics-M5'!$I17/365)))</f>
        <v>1.9487173298543161</v>
      </c>
      <c r="K14">
        <f>IF(ISBLANK(LSP_All[[#This Row],[M6+]]),"",ABS(LSP_All[[#This Row],[M6+]]-('statistics-M6'!$I17/365)))</f>
        <v>1.7857099409325123</v>
      </c>
      <c r="L14">
        <f>IF(ISBLANK(LSP_All[[#This Row],[M7+]]),"",ABS(LSP_All[[#This Row],[M7+]]-('statistics-M7'!$I17/365)))</f>
        <v>4.789495107632094</v>
      </c>
      <c r="M14" t="str">
        <f>IF(ISBLANK(LSP_All[[#This Row],[M8+]]),"",ABS(LSP_All[[#This Row],[M8+]]-('statistics-M8'!$I17/365)))</f>
        <v/>
      </c>
      <c r="O14">
        <f>IF(ISBLANK(LSP_All[[#This Row],[M4+]]),"",ABS(LSP_All[[#This Row],[M4+]]-('statistics-M4'!$F17/365)))</f>
        <v>2.4366712328767122</v>
      </c>
      <c r="P14">
        <f>IF(ISBLANK(LSP_All[[#This Row],[M5+]]),"",ABS(LSP_All[[#This Row],[M5+]]-('statistics-M5'!$F17/365)))</f>
        <v>2.4366712328767122</v>
      </c>
      <c r="Q14">
        <f>IF(ISBLANK(LSP_All[[#This Row],[M6+]]),"",ABS(LSP_All[[#This Row],[M6+]]-('statistics-M6'!$F17/365)))</f>
        <v>2.4296712328767125</v>
      </c>
      <c r="R14">
        <f>IF(ISBLANK(LSP_All[[#This Row],[M7+]]),"",ABS(LSP_All[[#This Row],[M7+]]-('statistics-M7'!$F17/365)))</f>
        <v>5.632547945205479</v>
      </c>
      <c r="S14" t="str">
        <f>IF(ISBLANK(LSP_All[[#This Row],[M8+]]),"",ABS(LSP_All[[#This Row],[M8+]]-('statistics-M8'!$F17/365)))</f>
        <v/>
      </c>
      <c r="U14">
        <f>IF(ISBLANK(LSP_All[[#This Row],[M4+]]),"",ABS(LSP_All[[#This Row],[M4+]]-('statistics-M4'!$J17/365)))</f>
        <v>2.0325616438356162</v>
      </c>
      <c r="V14">
        <f>IF(ISBLANK(LSP_All[[#This Row],[M5+]]),"",ABS(LSP_All[[#This Row],[M5+]]-('statistics-M5'!$J17/365)))</f>
        <v>2.0325616438356162</v>
      </c>
      <c r="W14">
        <f>IF(ISBLANK(LSP_All[[#This Row],[M6+]]),"",ABS(LSP_All[[#This Row],[M6+]]-('statistics-M6'!$J17/365)))</f>
        <v>1.9474794520547947</v>
      </c>
      <c r="X14">
        <f>IF(ISBLANK(LSP_All[[#This Row],[M7+]]),"",ABS(LSP_All[[#This Row],[M7+]]-('statistics-M7'!$J17/365)))</f>
        <v>5.4791232876712321</v>
      </c>
      <c r="Y14" t="str">
        <f>IF(ISBLANK(LSP_All[[#This Row],[M8+]]),"",ABS(LSP_All[[#This Row],[M8+]]-('statistics-M8'!$J17/365)))</f>
        <v/>
      </c>
    </row>
    <row r="15" spans="1:25" x14ac:dyDescent="0.35">
      <c r="A15" t="s">
        <v>14</v>
      </c>
      <c r="B15">
        <v>2</v>
      </c>
      <c r="C15">
        <v>28.047000000000001</v>
      </c>
      <c r="D15">
        <v>2.427</v>
      </c>
      <c r="E15">
        <v>32.47</v>
      </c>
      <c r="I15">
        <f>IF(ISBLANK(LSP_All[[#This Row],[M4+]]),"",ABS(LSP_All[[#This Row],[M4+]]-('statistics-M4'!$I18/365)))</f>
        <v>27.033615764653042</v>
      </c>
      <c r="J15">
        <f>IF(ISBLANK(LSP_All[[#This Row],[M5+]]),"",ABS(LSP_All[[#This Row],[M5+]]-('statistics-M5'!$I18/365)))</f>
        <v>1.3030647571606475</v>
      </c>
      <c r="K15">
        <f>IF(ISBLANK(LSP_All[[#This Row],[M6+]]),"",ABS(LSP_All[[#This Row],[M6+]]-('statistics-M6'!$I18/365)))</f>
        <v>30.65186946011281</v>
      </c>
      <c r="L15" t="str">
        <f>IF(ISBLANK(LSP_All[[#This Row],[M7+]]),"",ABS(LSP_All[[#This Row],[M7+]]-('statistics-M7'!$I18/365)))</f>
        <v/>
      </c>
      <c r="M15" t="str">
        <f>IF(ISBLANK(LSP_All[[#This Row],[M8+]]),"",ABS(LSP_All[[#This Row],[M8+]]-('statistics-M8'!$I18/365)))</f>
        <v/>
      </c>
      <c r="O15">
        <f>IF(ISBLANK(LSP_All[[#This Row],[M4+]]),"",ABS(LSP_All[[#This Row],[M4+]]-('statistics-M4'!$F18/365)))</f>
        <v>27.383986301369863</v>
      </c>
      <c r="P15">
        <f>IF(ISBLANK(LSP_All[[#This Row],[M5+]]),"",ABS(LSP_All[[#This Row],[M5+]]-('statistics-M5'!$F18/365)))</f>
        <v>1.8954931506849315</v>
      </c>
      <c r="Q15">
        <f>IF(ISBLANK(LSP_All[[#This Row],[M6+]]),"",ABS(LSP_All[[#This Row],[M6+]]-('statistics-M6'!$F18/365)))</f>
        <v>31.538493150684932</v>
      </c>
      <c r="R15" t="str">
        <f>IF(ISBLANK(LSP_All[[#This Row],[M7+]]),"",ABS(LSP_All[[#This Row],[M7+]]-('statistics-M7'!$F18/365)))</f>
        <v/>
      </c>
      <c r="S15" t="str">
        <f>IF(ISBLANK(LSP_All[[#This Row],[M8+]]),"",ABS(LSP_All[[#This Row],[M8+]]-('statistics-M8'!$F18/365)))</f>
        <v/>
      </c>
      <c r="U15">
        <f>IF(ISBLANK(LSP_All[[#This Row],[M4+]]),"",ABS(LSP_All[[#This Row],[M4+]]-('statistics-M4'!$J18/365)))</f>
        <v>27.226452054794521</v>
      </c>
      <c r="V15">
        <f>IF(ISBLANK(LSP_All[[#This Row],[M5+]]),"",ABS(LSP_All[[#This Row],[M5+]]-('statistics-M5'!$J18/365)))</f>
        <v>1.5598767123287671</v>
      </c>
      <c r="W15">
        <f>IF(ISBLANK(LSP_All[[#This Row],[M6+]]),"",ABS(LSP_All[[#This Row],[M6+]]-('statistics-M6'!$J18/365)))</f>
        <v>31.045342465753425</v>
      </c>
      <c r="X15" t="str">
        <f>IF(ISBLANK(LSP_All[[#This Row],[M7+]]),"",ABS(LSP_All[[#This Row],[M7+]]-('statistics-M7'!$J18/365)))</f>
        <v/>
      </c>
      <c r="Y15" t="str">
        <f>IF(ISBLANK(LSP_All[[#This Row],[M8+]]),"",ABS(LSP_All[[#This Row],[M8+]]-('statistics-M8'!$J18/365)))</f>
        <v/>
      </c>
    </row>
    <row r="16" spans="1:25" x14ac:dyDescent="0.35">
      <c r="A16" t="s">
        <v>14</v>
      </c>
      <c r="B16">
        <v>3</v>
      </c>
      <c r="C16">
        <v>26.501999999999999</v>
      </c>
      <c r="D16">
        <v>7.1260000000000003</v>
      </c>
      <c r="I16">
        <f>IF(ISBLANK(LSP_All[[#This Row],[M4+]]),"",ABS(LSP_All[[#This Row],[M4+]]-('statistics-M4'!$I19/365)))</f>
        <v>24.966726027397257</v>
      </c>
      <c r="J16">
        <f>IF(ISBLANK(LSP_All[[#This Row],[M5+]]),"",ABS(LSP_All[[#This Row],[M5+]]-('statistics-M5'!$I19/365)))</f>
        <v>5.1314794520547951</v>
      </c>
      <c r="K16" t="str">
        <f>IF(ISBLANK(LSP_All[[#This Row],[M6+]]),"",ABS(LSP_All[[#This Row],[M6+]]-('statistics-M6'!$I19/365)))</f>
        <v/>
      </c>
      <c r="L16" t="str">
        <f>IF(ISBLANK(LSP_All[[#This Row],[M7+]]),"",ABS(LSP_All[[#This Row],[M7+]]-('statistics-M7'!$I19/365)))</f>
        <v/>
      </c>
      <c r="M16" t="str">
        <f>IF(ISBLANK(LSP_All[[#This Row],[M8+]]),"",ABS(LSP_All[[#This Row],[M8+]]-('statistics-M8'!$I19/365)))</f>
        <v/>
      </c>
      <c r="O16">
        <f>IF(ISBLANK(LSP_All[[#This Row],[M4+]]),"",ABS(LSP_All[[#This Row],[M4+]]-('statistics-M4'!$F19/365)))</f>
        <v>25.891041095890408</v>
      </c>
      <c r="P16">
        <f>IF(ISBLANK(LSP_All[[#This Row],[M5+]]),"",ABS(LSP_All[[#This Row],[M5+]]-('statistics-M5'!$F19/365)))</f>
        <v>6.5150410958904112</v>
      </c>
      <c r="Q16" t="str">
        <f>IF(ISBLANK(LSP_All[[#This Row],[M6+]]),"",ABS(LSP_All[[#This Row],[M6+]]-('statistics-M6'!$F19/365)))</f>
        <v/>
      </c>
      <c r="R16" t="str">
        <f>IF(ISBLANK(LSP_All[[#This Row],[M7+]]),"",ABS(LSP_All[[#This Row],[M7+]]-('statistics-M7'!$F19/365)))</f>
        <v/>
      </c>
      <c r="S16" t="str">
        <f>IF(ISBLANK(LSP_All[[#This Row],[M8+]]),"",ABS(LSP_All[[#This Row],[M8+]]-('statistics-M8'!$F19/365)))</f>
        <v/>
      </c>
      <c r="U16">
        <f>IF(ISBLANK(LSP_All[[#This Row],[M4+]]),"",ABS(LSP_All[[#This Row],[M4+]]-('statistics-M4'!$J19/365)))</f>
        <v>25.53898630136986</v>
      </c>
      <c r="V16">
        <f>IF(ISBLANK(LSP_All[[#This Row],[M5+]]),"",ABS(LSP_All[[#This Row],[M5+]]-('statistics-M5'!$J19/365)))</f>
        <v>5.9835342465753429</v>
      </c>
      <c r="W16" t="str">
        <f>IF(ISBLANK(LSP_All[[#This Row],[M6+]]),"",ABS(LSP_All[[#This Row],[M6+]]-('statistics-M6'!$J19/365)))</f>
        <v/>
      </c>
      <c r="X16" t="str">
        <f>IF(ISBLANK(LSP_All[[#This Row],[M7+]]),"",ABS(LSP_All[[#This Row],[M7+]]-('statistics-M7'!$J19/365)))</f>
        <v/>
      </c>
      <c r="Y16" t="str">
        <f>IF(ISBLANK(LSP_All[[#This Row],[M8+]]),"",ABS(LSP_All[[#This Row],[M8+]]-('statistics-M8'!$J19/365)))</f>
        <v/>
      </c>
    </row>
    <row r="17" spans="1:25" x14ac:dyDescent="0.35">
      <c r="A17" t="s">
        <v>15</v>
      </c>
      <c r="B17">
        <v>1</v>
      </c>
      <c r="C17">
        <v>5.2919999999999998</v>
      </c>
      <c r="D17">
        <v>19.614000000000001</v>
      </c>
      <c r="E17">
        <v>7.1139999999999999</v>
      </c>
      <c r="I17">
        <f>IF(ISBLANK(LSP_All[[#This Row],[M4+]]),"",ABS(LSP_All[[#This Row],[M4+]]-('statistics-M4'!$I20/365)))</f>
        <v>4.1138339390550742</v>
      </c>
      <c r="J17">
        <f>IF(ISBLANK(LSP_All[[#This Row],[M5+]]),"",ABS(LSP_All[[#This Row],[M5+]]-('statistics-M5'!$I20/365)))</f>
        <v>18.361945205479454</v>
      </c>
      <c r="K17">
        <f>IF(ISBLANK(LSP_All[[#This Row],[M6+]]),"",ABS(LSP_All[[#This Row],[M6+]]-('statistics-M6'!$I20/365)))</f>
        <v>5.2150502283105027</v>
      </c>
      <c r="L17" t="str">
        <f>IF(ISBLANK(LSP_All[[#This Row],[M7+]]),"",ABS(LSP_All[[#This Row],[M7+]]-('statistics-M7'!$I20/365)))</f>
        <v/>
      </c>
      <c r="M17" t="str">
        <f>IF(ISBLANK(LSP_All[[#This Row],[M8+]]),"",ABS(LSP_All[[#This Row],[M8+]]-('statistics-M8'!$I20/365)))</f>
        <v/>
      </c>
      <c r="O17">
        <f>IF(ISBLANK(LSP_All[[#This Row],[M4+]]),"",ABS(LSP_All[[#This Row],[M4+]]-('statistics-M4'!$F20/365)))</f>
        <v>4.4536438356164378</v>
      </c>
      <c r="P17">
        <f>IF(ISBLANK(LSP_All[[#This Row],[M5+]]),"",ABS(LSP_All[[#This Row],[M5+]]-('statistics-M5'!$F20/365)))</f>
        <v>18.775643835616439</v>
      </c>
      <c r="Q17">
        <f>IF(ISBLANK(LSP_All[[#This Row],[M6+]]),"",ABS(LSP_All[[#This Row],[M6+]]-('statistics-M6'!$F20/365)))</f>
        <v>6.4756438356164381</v>
      </c>
      <c r="R17" t="str">
        <f>IF(ISBLANK(LSP_All[[#This Row],[M7+]]),"",ABS(LSP_All[[#This Row],[M7+]]-('statistics-M7'!$F20/365)))</f>
        <v/>
      </c>
      <c r="S17" t="str">
        <f>IF(ISBLANK(LSP_All[[#This Row],[M8+]]),"",ABS(LSP_All[[#This Row],[M8+]]-('statistics-M8'!$F20/365)))</f>
        <v/>
      </c>
      <c r="U17">
        <f>IF(ISBLANK(LSP_All[[#This Row],[M4+]]),"",ABS(LSP_All[[#This Row],[M4+]]-('statistics-M4'!$J20/365)))</f>
        <v>4.3783013698630135</v>
      </c>
      <c r="V17">
        <f>IF(ISBLANK(LSP_All[[#This Row],[M5+]]),"",ABS(LSP_All[[#This Row],[M5+]]-('statistics-M5'!$J20/365)))</f>
        <v>18.641397260273973</v>
      </c>
      <c r="W17">
        <f>IF(ISBLANK(LSP_All[[#This Row],[M6+]]),"",ABS(LSP_All[[#This Row],[M6+]]-('statistics-M6'!$J20/365)))</f>
        <v>5.696191780821918</v>
      </c>
      <c r="X17" t="str">
        <f>IF(ISBLANK(LSP_All[[#This Row],[M7+]]),"",ABS(LSP_All[[#This Row],[M7+]]-('statistics-M7'!$J20/365)))</f>
        <v/>
      </c>
      <c r="Y17" t="str">
        <f>IF(ISBLANK(LSP_All[[#This Row],[M8+]]),"",ABS(LSP_All[[#This Row],[M8+]]-('statistics-M8'!$J20/365)))</f>
        <v/>
      </c>
    </row>
    <row r="18" spans="1:25" x14ac:dyDescent="0.35">
      <c r="A18" t="s">
        <v>15</v>
      </c>
      <c r="B18">
        <v>2</v>
      </c>
      <c r="C18">
        <v>12.343</v>
      </c>
      <c r="D18">
        <v>14.618</v>
      </c>
      <c r="I18">
        <f>IF(ISBLANK(LSP_All[[#This Row],[M4+]]),"",ABS(LSP_All[[#This Row],[M4+]]-('statistics-M4'!$I21/365)))</f>
        <v>10.515840976771887</v>
      </c>
      <c r="J18">
        <f>IF(ISBLANK(LSP_All[[#This Row],[M5+]]),"",ABS(LSP_All[[#This Row],[M5+]]-('statistics-M5'!$I21/365)))</f>
        <v>10.053294117647059</v>
      </c>
      <c r="K18" t="str">
        <f>IF(ISBLANK(LSP_All[[#This Row],[M6+]]),"",ABS(LSP_All[[#This Row],[M6+]]-('statistics-M6'!$I21/365)))</f>
        <v/>
      </c>
      <c r="L18" t="str">
        <f>IF(ISBLANK(LSP_All[[#This Row],[M7+]]),"",ABS(LSP_All[[#This Row],[M7+]]-('statistics-M7'!$I21/365)))</f>
        <v/>
      </c>
      <c r="M18" t="str">
        <f>IF(ISBLANK(LSP_All[[#This Row],[M8+]]),"",ABS(LSP_All[[#This Row],[M8+]]-('statistics-M8'!$I21/365)))</f>
        <v/>
      </c>
      <c r="O18">
        <f>IF(ISBLANK(LSP_All[[#This Row],[M4+]]),"",ABS(LSP_All[[#This Row],[M4+]]-('statistics-M4'!$F21/365)))</f>
        <v>11.40327397260274</v>
      </c>
      <c r="P18">
        <f>IF(ISBLANK(LSP_All[[#This Row],[M5+]]),"",ABS(LSP_All[[#This Row],[M5+]]-('statistics-M5'!$F21/365)))</f>
        <v>13.963205479452055</v>
      </c>
      <c r="Q18" t="str">
        <f>IF(ISBLANK(LSP_All[[#This Row],[M6+]]),"",ABS(LSP_All[[#This Row],[M6+]]-('statistics-M6'!$F21/365)))</f>
        <v/>
      </c>
      <c r="R18" t="str">
        <f>IF(ISBLANK(LSP_All[[#This Row],[M7+]]),"",ABS(LSP_All[[#This Row],[M7+]]-('statistics-M7'!$F21/365)))</f>
        <v/>
      </c>
      <c r="S18" t="str">
        <f>IF(ISBLANK(LSP_All[[#This Row],[M8+]]),"",ABS(LSP_All[[#This Row],[M8+]]-('statistics-M8'!$F21/365)))</f>
        <v/>
      </c>
      <c r="U18">
        <f>IF(ISBLANK(LSP_All[[#This Row],[M4+]]),"",ABS(LSP_All[[#This Row],[M4+]]-('statistics-M4'!$J21/365)))</f>
        <v>11.243</v>
      </c>
      <c r="V18">
        <f>IF(ISBLANK(LSP_All[[#This Row],[M5+]]),"",ABS(LSP_All[[#This Row],[M5+]]-('statistics-M5'!$J21/365)))</f>
        <v>11.702931506849316</v>
      </c>
      <c r="W18" t="str">
        <f>IF(ISBLANK(LSP_All[[#This Row],[M6+]]),"",ABS(LSP_All[[#This Row],[M6+]]-('statistics-M6'!$J21/365)))</f>
        <v/>
      </c>
      <c r="X18" t="str">
        <f>IF(ISBLANK(LSP_All[[#This Row],[M7+]]),"",ABS(LSP_All[[#This Row],[M7+]]-('statistics-M7'!$J21/365)))</f>
        <v/>
      </c>
      <c r="Y18" t="str">
        <f>IF(ISBLANK(LSP_All[[#This Row],[M8+]]),"",ABS(LSP_All[[#This Row],[M8+]]-('statistics-M8'!$J21/365)))</f>
        <v/>
      </c>
    </row>
    <row r="19" spans="1:25" x14ac:dyDescent="0.35">
      <c r="A19" t="s">
        <v>15</v>
      </c>
      <c r="B19">
        <v>3</v>
      </c>
      <c r="C19">
        <v>15.597</v>
      </c>
      <c r="I19">
        <f>IF(ISBLANK(LSP_All[[#This Row],[M4+]]),"",ABS(LSP_All[[#This Row],[M4+]]-('statistics-M4'!$I22/365)))</f>
        <v>13.046315068493151</v>
      </c>
      <c r="J19" t="str">
        <f>IF(ISBLANK(LSP_All[[#This Row],[M5+]]),"",ABS(LSP_All[[#This Row],[M5+]]-('statistics-M5'!$I22/365)))</f>
        <v/>
      </c>
      <c r="K19" t="str">
        <f>IF(ISBLANK(LSP_All[[#This Row],[M6+]]),"",ABS(LSP_All[[#This Row],[M6+]]-('statistics-M6'!$I22/365)))</f>
        <v/>
      </c>
      <c r="L19" t="str">
        <f>IF(ISBLANK(LSP_All[[#This Row],[M7+]]),"",ABS(LSP_All[[#This Row],[M7+]]-('statistics-M7'!$I22/365)))</f>
        <v/>
      </c>
      <c r="M19" t="str">
        <f>IF(ISBLANK(LSP_All[[#This Row],[M8+]]),"",ABS(LSP_All[[#This Row],[M8+]]-('statistics-M8'!$I22/365)))</f>
        <v/>
      </c>
      <c r="O19">
        <f>IF(ISBLANK(LSP_All[[#This Row],[M4+]]),"",ABS(LSP_All[[#This Row],[M4+]]-('statistics-M4'!$F22/365)))</f>
        <v>14.928506849315069</v>
      </c>
      <c r="P19" t="str">
        <f>IF(ISBLANK(LSP_All[[#This Row],[M5+]]),"",ABS(LSP_All[[#This Row],[M5+]]-('statistics-M5'!$F22/365)))</f>
        <v/>
      </c>
      <c r="Q19" t="str">
        <f>IF(ISBLANK(LSP_All[[#This Row],[M6+]]),"",ABS(LSP_All[[#This Row],[M6+]]-('statistics-M6'!$F22/365)))</f>
        <v/>
      </c>
      <c r="R19" t="str">
        <f>IF(ISBLANK(LSP_All[[#This Row],[M7+]]),"",ABS(LSP_All[[#This Row],[M7+]]-('statistics-M7'!$F22/365)))</f>
        <v/>
      </c>
      <c r="S19" t="str">
        <f>IF(ISBLANK(LSP_All[[#This Row],[M8+]]),"",ABS(LSP_All[[#This Row],[M8+]]-('statistics-M8'!$F22/365)))</f>
        <v/>
      </c>
      <c r="U19">
        <f>IF(ISBLANK(LSP_All[[#This Row],[M4+]]),"",ABS(LSP_All[[#This Row],[M4+]]-('statistics-M4'!$J22/365)))</f>
        <v>13.890150684931506</v>
      </c>
      <c r="V19" t="str">
        <f>IF(ISBLANK(LSP_All[[#This Row],[M5+]]),"",ABS(LSP_All[[#This Row],[M5+]]-('statistics-M5'!$J22/365)))</f>
        <v/>
      </c>
      <c r="W19" t="str">
        <f>IF(ISBLANK(LSP_All[[#This Row],[M6+]]),"",ABS(LSP_All[[#This Row],[M6+]]-('statistics-M6'!$J22/365)))</f>
        <v/>
      </c>
      <c r="X19" t="str">
        <f>IF(ISBLANK(LSP_All[[#This Row],[M7+]]),"",ABS(LSP_All[[#This Row],[M7+]]-('statistics-M7'!$J22/365)))</f>
        <v/>
      </c>
      <c r="Y19" t="str">
        <f>IF(ISBLANK(LSP_All[[#This Row],[M8+]]),"",ABS(LSP_All[[#This Row],[M8+]]-('statistics-M8'!$J22/365)))</f>
        <v/>
      </c>
    </row>
    <row r="20" spans="1:25" x14ac:dyDescent="0.35">
      <c r="A20" t="s">
        <v>16</v>
      </c>
      <c r="B20">
        <v>1</v>
      </c>
      <c r="C20">
        <v>2.6869999999999998</v>
      </c>
      <c r="D20">
        <v>2.6869999999999998</v>
      </c>
      <c r="E20">
        <v>5.4569999999999999</v>
      </c>
      <c r="I20">
        <f>IF(ISBLANK(LSP_All[[#This Row],[M4+]]),"",ABS(LSP_All[[#This Row],[M4+]]-('statistics-M4'!$I23/365)))</f>
        <v>1.4318457174484571</v>
      </c>
      <c r="J20">
        <f>IF(ISBLANK(LSP_All[[#This Row],[M5+]]),"",ABS(LSP_All[[#This Row],[M5+]]-('statistics-M5'!$I23/365)))</f>
        <v>1.4318457174484571</v>
      </c>
      <c r="K20">
        <f>IF(ISBLANK(LSP_All[[#This Row],[M6+]]),"",ABS(LSP_All[[#This Row],[M6+]]-('statistics-M6'!$I23/365)))</f>
        <v>2.9602708974000556</v>
      </c>
      <c r="L20" t="str">
        <f>IF(ISBLANK(LSP_All[[#This Row],[M7+]]),"",ABS(LSP_All[[#This Row],[M7+]]-('statistics-M7'!$I23/365)))</f>
        <v/>
      </c>
      <c r="M20" t="str">
        <f>IF(ISBLANK(LSP_All[[#This Row],[M8+]]),"",ABS(LSP_All[[#This Row],[M8+]]-('statistics-M8'!$I23/365)))</f>
        <v/>
      </c>
      <c r="O20">
        <f>IF(ISBLANK(LSP_All[[#This Row],[M4+]]),"",ABS(LSP_All[[#This Row],[M4+]]-('statistics-M4'!$F23/365)))</f>
        <v>2.1828904109589038</v>
      </c>
      <c r="P20">
        <f>IF(ISBLANK(LSP_All[[#This Row],[M5+]]),"",ABS(LSP_All[[#This Row],[M5+]]-('statistics-M5'!$F23/365)))</f>
        <v>2.1828904109589038</v>
      </c>
      <c r="Q20">
        <f>IF(ISBLANK(LSP_All[[#This Row],[M6+]]),"",ABS(LSP_All[[#This Row],[M6+]]-('statistics-M6'!$F23/365)))</f>
        <v>4.583027397260274</v>
      </c>
      <c r="R20" t="str">
        <f>IF(ISBLANK(LSP_All[[#This Row],[M7+]]),"",ABS(LSP_All[[#This Row],[M7+]]-('statistics-M7'!$F23/365)))</f>
        <v/>
      </c>
      <c r="S20" t="str">
        <f>IF(ISBLANK(LSP_All[[#This Row],[M8+]]),"",ABS(LSP_All[[#This Row],[M8+]]-('statistics-M8'!$F23/365)))</f>
        <v/>
      </c>
      <c r="U20">
        <f>IF(ISBLANK(LSP_All[[#This Row],[M4+]]),"",ABS(LSP_All[[#This Row],[M4+]]-('statistics-M4'!$J23/365)))</f>
        <v>1.7965890410958902</v>
      </c>
      <c r="V20">
        <f>IF(ISBLANK(LSP_All[[#This Row],[M5+]]),"",ABS(LSP_All[[#This Row],[M5+]]-('statistics-M5'!$J23/365)))</f>
        <v>1.7965890410958902</v>
      </c>
      <c r="W20">
        <f>IF(ISBLANK(LSP_All[[#This Row],[M6+]]),"",ABS(LSP_All[[#This Row],[M6+]]-('statistics-M6'!$J23/365)))</f>
        <v>3.7994657534246574</v>
      </c>
      <c r="X20" t="str">
        <f>IF(ISBLANK(LSP_All[[#This Row],[M7+]]),"",ABS(LSP_All[[#This Row],[M7+]]-('statistics-M7'!$J23/365)))</f>
        <v/>
      </c>
      <c r="Y20" t="str">
        <f>IF(ISBLANK(LSP_All[[#This Row],[M8+]]),"",ABS(LSP_All[[#This Row],[M8+]]-('statistics-M8'!$J23/365)))</f>
        <v/>
      </c>
    </row>
    <row r="21" spans="1:25" x14ac:dyDescent="0.35">
      <c r="A21" t="s">
        <v>16</v>
      </c>
      <c r="B21">
        <v>2</v>
      </c>
      <c r="C21">
        <v>16.966999999999999</v>
      </c>
      <c r="I21">
        <f>IF(ISBLANK(LSP_All[[#This Row],[M4+]]),"",ABS(LSP_All[[#This Row],[M4+]]-('statistics-M4'!$I24/365)))</f>
        <v>10.975363374188895</v>
      </c>
      <c r="J21" t="str">
        <f>IF(ISBLANK(LSP_All[[#This Row],[M5+]]),"",ABS(LSP_All[[#This Row],[M5+]]-('statistics-M5'!$I24/365)))</f>
        <v/>
      </c>
      <c r="K21" t="str">
        <f>IF(ISBLANK(LSP_All[[#This Row],[M6+]]),"",ABS(LSP_All[[#This Row],[M6+]]-('statistics-M6'!$I24/365)))</f>
        <v/>
      </c>
      <c r="L21" t="str">
        <f>IF(ISBLANK(LSP_All[[#This Row],[M7+]]),"",ABS(LSP_All[[#This Row],[M7+]]-('statistics-M7'!$I24/365)))</f>
        <v/>
      </c>
      <c r="M21" t="str">
        <f>IF(ISBLANK(LSP_All[[#This Row],[M8+]]),"",ABS(LSP_All[[#This Row],[M8+]]-('statistics-M8'!$I24/365)))</f>
        <v/>
      </c>
      <c r="O21">
        <f>IF(ISBLANK(LSP_All[[#This Row],[M4+]]),"",ABS(LSP_All[[#This Row],[M4+]]-('statistics-M4'!$F24/365)))</f>
        <v>16.388917808219176</v>
      </c>
      <c r="P21" t="str">
        <f>IF(ISBLANK(LSP_All[[#This Row],[M5+]]),"",ABS(LSP_All[[#This Row],[M5+]]-('statistics-M5'!$F24/365)))</f>
        <v/>
      </c>
      <c r="Q21" t="str">
        <f>IF(ISBLANK(LSP_All[[#This Row],[M6+]]),"",ABS(LSP_All[[#This Row],[M6+]]-('statistics-M6'!$F24/365)))</f>
        <v/>
      </c>
      <c r="R21" t="str">
        <f>IF(ISBLANK(LSP_All[[#This Row],[M7+]]),"",ABS(LSP_All[[#This Row],[M7+]]-('statistics-M7'!$F24/365)))</f>
        <v/>
      </c>
      <c r="S21" t="str">
        <f>IF(ISBLANK(LSP_All[[#This Row],[M8+]]),"",ABS(LSP_All[[#This Row],[M8+]]-('statistics-M8'!$F24/365)))</f>
        <v/>
      </c>
      <c r="U21">
        <f>IF(ISBLANK(LSP_All[[#This Row],[M4+]]),"",ABS(LSP_All[[#This Row],[M4+]]-('statistics-M4'!$J24/365)))</f>
        <v>14.813575342465752</v>
      </c>
      <c r="V21" t="str">
        <f>IF(ISBLANK(LSP_All[[#This Row],[M5+]]),"",ABS(LSP_All[[#This Row],[M5+]]-('statistics-M5'!$J24/365)))</f>
        <v/>
      </c>
      <c r="W21" t="str">
        <f>IF(ISBLANK(LSP_All[[#This Row],[M6+]]),"",ABS(LSP_All[[#This Row],[M6+]]-('statistics-M6'!$J24/365)))</f>
        <v/>
      </c>
      <c r="X21" t="str">
        <f>IF(ISBLANK(LSP_All[[#This Row],[M7+]]),"",ABS(LSP_All[[#This Row],[M7+]]-('statistics-M7'!$J24/365)))</f>
        <v/>
      </c>
      <c r="Y21" t="str">
        <f>IF(ISBLANK(LSP_All[[#This Row],[M8+]]),"",ABS(LSP_All[[#This Row],[M8+]]-('statistics-M8'!$J24/365)))</f>
        <v/>
      </c>
    </row>
    <row r="22" spans="1:25" x14ac:dyDescent="0.35">
      <c r="A22" t="s">
        <v>17</v>
      </c>
      <c r="B22">
        <v>1</v>
      </c>
      <c r="C22">
        <v>2.1360000000000001</v>
      </c>
      <c r="D22">
        <v>2.1360000000000001</v>
      </c>
      <c r="E22">
        <v>2.14</v>
      </c>
      <c r="F22">
        <v>4.8739999999999997</v>
      </c>
      <c r="I22">
        <f>IF(ISBLANK(LSP_All[[#This Row],[M4+]]),"",ABS(LSP_All[[#This Row],[M4+]]-('statistics-M4'!$I26/365)))</f>
        <v>1.2951247586650732</v>
      </c>
      <c r="J22">
        <f>IF(ISBLANK(LSP_All[[#This Row],[M5+]]),"",ABS(LSP_All[[#This Row],[M5+]]-('statistics-M5'!$I26/365)))</f>
        <v>1.2951247586650732</v>
      </c>
      <c r="K22">
        <f>IF(ISBLANK(LSP_All[[#This Row],[M6+]]),"",ABS(LSP_All[[#This Row],[M6+]]-('statistics-M6'!$I26/365)))</f>
        <v>1.27592820028342</v>
      </c>
      <c r="L22">
        <f>IF(ISBLANK(LSP_All[[#This Row],[M7+]]),"",ABS(LSP_All[[#This Row],[M7+]]-('statistics-M7'!$I26/365)))</f>
        <v>2.6121818181818175</v>
      </c>
      <c r="M22" t="str">
        <f>IF(ISBLANK(LSP_All[[#This Row],[M8+]]),"",ABS(LSP_All[[#This Row],[M8+]]-('statistics-M8'!$I26/365)))</f>
        <v/>
      </c>
      <c r="O22">
        <f>IF(ISBLANK(LSP_All[[#This Row],[M4+]]),"",ABS(LSP_All[[#This Row],[M4+]]-('statistics-M4'!$F26/365)))</f>
        <v>1.6236712328767124</v>
      </c>
      <c r="P22">
        <f>IF(ISBLANK(LSP_All[[#This Row],[M5+]]),"",ABS(LSP_All[[#This Row],[M5+]]-('statistics-M5'!$F26/365)))</f>
        <v>1.6236712328767124</v>
      </c>
      <c r="Q22">
        <f>IF(ISBLANK(LSP_All[[#This Row],[M6+]]),"",ABS(LSP_All[[#This Row],[M6+]]-('statistics-M6'!$F26/365)))</f>
        <v>1.6276712328767124</v>
      </c>
      <c r="R22">
        <f>IF(ISBLANK(LSP_All[[#This Row],[M7+]]),"",ABS(LSP_All[[#This Row],[M7+]]-('statistics-M7'!$F26/365)))</f>
        <v>3.6493424657534241</v>
      </c>
      <c r="S22" t="str">
        <f>IF(ISBLANK(LSP_All[[#This Row],[M8+]]),"",ABS(LSP_All[[#This Row],[M8+]]-('statistics-M8'!$F26/365)))</f>
        <v/>
      </c>
      <c r="U22">
        <f>IF(ISBLANK(LSP_All[[#This Row],[M4+]]),"",ABS(LSP_All[[#This Row],[M4+]]-('statistics-M4'!$J26/365)))</f>
        <v>1.3770958904109589</v>
      </c>
      <c r="V22">
        <f>IF(ISBLANK(LSP_All[[#This Row],[M5+]]),"",ABS(LSP_All[[#This Row],[M5+]]-('statistics-M5'!$J26/365)))</f>
        <v>1.3770958904109589</v>
      </c>
      <c r="W22">
        <f>IF(ISBLANK(LSP_All[[#This Row],[M6+]]),"",ABS(LSP_All[[#This Row],[M6+]]-('statistics-M6'!$J26/365)))</f>
        <v>1.3591780821917809</v>
      </c>
      <c r="X22">
        <f>IF(ISBLANK(LSP_All[[#This Row],[M7+]]),"",ABS(LSP_All[[#This Row],[M7+]]-('statistics-M7'!$J26/365)))</f>
        <v>3.1890684931506845</v>
      </c>
      <c r="Y22" t="str">
        <f>IF(ISBLANK(LSP_All[[#This Row],[M8+]]),"",ABS(LSP_All[[#This Row],[M8+]]-('statistics-M8'!$J26/365)))</f>
        <v/>
      </c>
    </row>
    <row r="23" spans="1:25" x14ac:dyDescent="0.35">
      <c r="A23" t="s">
        <v>17</v>
      </c>
      <c r="B23">
        <v>2</v>
      </c>
      <c r="C23">
        <v>3.4980000000000002</v>
      </c>
      <c r="D23">
        <v>4.1420000000000003</v>
      </c>
      <c r="E23">
        <v>41.439</v>
      </c>
      <c r="I23">
        <f>IF(ISBLANK(LSP_All[[#This Row],[M4+]]),"",ABS(LSP_All[[#This Row],[M4+]]-('statistics-M4'!$I27/365)))</f>
        <v>1.8396726748377796</v>
      </c>
      <c r="J23">
        <f>IF(ISBLANK(LSP_All[[#This Row],[M5+]]),"",ABS(LSP_All[[#This Row],[M5+]]-('statistics-M5'!$I27/365)))</f>
        <v>2.203032665964173</v>
      </c>
      <c r="K23">
        <f>IF(ISBLANK(LSP_All[[#This Row],[M6+]]),"",ABS(LSP_All[[#This Row],[M6+]]-('statistics-M6'!$I27/365)))</f>
        <v>31.054981735159817</v>
      </c>
      <c r="L23" t="str">
        <f>IF(ISBLANK(LSP_All[[#This Row],[M7+]]),"",ABS(LSP_All[[#This Row],[M7+]]-('statistics-M7'!$I27/365)))</f>
        <v/>
      </c>
      <c r="M23" t="str">
        <f>IF(ISBLANK(LSP_All[[#This Row],[M8+]]),"",ABS(LSP_All[[#This Row],[M8+]]-('statistics-M8'!$I27/365)))</f>
        <v/>
      </c>
      <c r="O23">
        <f>IF(ISBLANK(LSP_All[[#This Row],[M4+]]),"",ABS(LSP_All[[#This Row],[M4+]]-('statistics-M4'!$F27/365)))</f>
        <v>2.7993698630136987</v>
      </c>
      <c r="P23">
        <f>IF(ISBLANK(LSP_All[[#This Row],[M5+]]),"",ABS(LSP_All[[#This Row],[M5+]]-('statistics-M5'!$F27/365)))</f>
        <v>3.6296712328767127</v>
      </c>
      <c r="Q23">
        <f>IF(ISBLANK(LSP_All[[#This Row],[M6+]]),"",ABS(LSP_All[[#This Row],[M6+]]-('statistics-M6'!$F27/365)))</f>
        <v>39.715712328767125</v>
      </c>
      <c r="R23" t="str">
        <f>IF(ISBLANK(LSP_All[[#This Row],[M7+]]),"",ABS(LSP_All[[#This Row],[M7+]]-('statistics-M7'!$F27/365)))</f>
        <v/>
      </c>
      <c r="S23" t="str">
        <f>IF(ISBLANK(LSP_All[[#This Row],[M8+]]),"",ABS(LSP_All[[#This Row],[M8+]]-('statistics-M8'!$F27/365)))</f>
        <v/>
      </c>
      <c r="U23">
        <f>IF(ISBLANK(LSP_All[[#This Row],[M4+]]),"",ABS(LSP_All[[#This Row],[M4+]]-('statistics-M4'!$J27/365)))</f>
        <v>2.7952602739726027</v>
      </c>
      <c r="V23">
        <f>IF(ISBLANK(LSP_All[[#This Row],[M5+]]),"",ABS(LSP_All[[#This Row],[M5+]]-('statistics-M5'!$J27/365)))</f>
        <v>3.3392602739726032</v>
      </c>
      <c r="W23">
        <f>IF(ISBLANK(LSP_All[[#This Row],[M6+]]),"",ABS(LSP_All[[#This Row],[M6+]]-('statistics-M6'!$J27/365)))</f>
        <v>35.62941095890411</v>
      </c>
      <c r="X23" t="str">
        <f>IF(ISBLANK(LSP_All[[#This Row],[M7+]]),"",ABS(LSP_All[[#This Row],[M7+]]-('statistics-M7'!$J27/365)))</f>
        <v/>
      </c>
      <c r="Y23" t="str">
        <f>IF(ISBLANK(LSP_All[[#This Row],[M8+]]),"",ABS(LSP_All[[#This Row],[M8+]]-('statistics-M8'!$J27/365)))</f>
        <v/>
      </c>
    </row>
    <row r="24" spans="1:25" x14ac:dyDescent="0.35">
      <c r="A24" t="s">
        <v>17</v>
      </c>
      <c r="B24">
        <v>3</v>
      </c>
      <c r="C24">
        <v>4.2839999999999998</v>
      </c>
      <c r="D24">
        <v>6.9889999999999999</v>
      </c>
      <c r="I24">
        <f>IF(ISBLANK(LSP_All[[#This Row],[M4+]]),"",ABS(LSP_All[[#This Row],[M4+]]-('statistics-M4'!$I28/365)))</f>
        <v>2.3228502133393216</v>
      </c>
      <c r="J24">
        <f>IF(ISBLANK(LSP_All[[#This Row],[M5+]]),"",ABS(LSP_All[[#This Row],[M5+]]-('statistics-M5'!$I28/365)))</f>
        <v>3.7557530544242868</v>
      </c>
      <c r="K24" t="str">
        <f>IF(ISBLANK(LSP_All[[#This Row],[M6+]]),"",ABS(LSP_All[[#This Row],[M6+]]-('statistics-M6'!$I28/365)))</f>
        <v/>
      </c>
      <c r="L24" t="str">
        <f>IF(ISBLANK(LSP_All[[#This Row],[M7+]]),"",ABS(LSP_All[[#This Row],[M7+]]-('statistics-M7'!$I28/365)))</f>
        <v/>
      </c>
      <c r="M24" t="str">
        <f>IF(ISBLANK(LSP_All[[#This Row],[M8+]]),"",ABS(LSP_All[[#This Row],[M8+]]-('statistics-M8'!$I28/365)))</f>
        <v/>
      </c>
      <c r="O24">
        <f>IF(ISBLANK(LSP_All[[#This Row],[M4+]]),"",ABS(LSP_All[[#This Row],[M4+]]-('statistics-M4'!$F28/365)))</f>
        <v>3.0127671232876709</v>
      </c>
      <c r="P24">
        <f>IF(ISBLANK(LSP_All[[#This Row],[M5+]]),"",ABS(LSP_All[[#This Row],[M5+]]-('statistics-M5'!$F28/365)))</f>
        <v>6.4629726027397263</v>
      </c>
      <c r="Q24" t="str">
        <f>IF(ISBLANK(LSP_All[[#This Row],[M6+]]),"",ABS(LSP_All[[#This Row],[M6+]]-('statistics-M6'!$F28/365)))</f>
        <v/>
      </c>
      <c r="R24" t="str">
        <f>IF(ISBLANK(LSP_All[[#This Row],[M7+]]),"",ABS(LSP_All[[#This Row],[M7+]]-('statistics-M7'!$F28/365)))</f>
        <v/>
      </c>
      <c r="S24" t="str">
        <f>IF(ISBLANK(LSP_All[[#This Row],[M8+]]),"",ABS(LSP_All[[#This Row],[M8+]]-('statistics-M8'!$F28/365)))</f>
        <v/>
      </c>
      <c r="U24">
        <f>IF(ISBLANK(LSP_All[[#This Row],[M4+]]),"",ABS(LSP_All[[#This Row],[M4+]]-('statistics-M4'!$J28/365)))</f>
        <v>3.3524931506849311</v>
      </c>
      <c r="V24">
        <f>IF(ISBLANK(LSP_All[[#This Row],[M5+]]),"",ABS(LSP_All[[#This Row],[M5+]]-('statistics-M5'!$J28/365)))</f>
        <v>5.717767123287671</v>
      </c>
      <c r="W24" t="str">
        <f>IF(ISBLANK(LSP_All[[#This Row],[M6+]]),"",ABS(LSP_All[[#This Row],[M6+]]-('statistics-M6'!$J28/365)))</f>
        <v/>
      </c>
      <c r="X24" t="str">
        <f>IF(ISBLANK(LSP_All[[#This Row],[M7+]]),"",ABS(LSP_All[[#This Row],[M7+]]-('statistics-M7'!$J28/365)))</f>
        <v/>
      </c>
      <c r="Y24" t="str">
        <f>IF(ISBLANK(LSP_All[[#This Row],[M8+]]),"",ABS(LSP_All[[#This Row],[M8+]]-('statistics-M8'!$J28/365)))</f>
        <v/>
      </c>
    </row>
    <row r="25" spans="1:25" x14ac:dyDescent="0.35">
      <c r="A25" t="s">
        <v>18</v>
      </c>
      <c r="B25">
        <v>1</v>
      </c>
      <c r="C25">
        <v>41.027000000000001</v>
      </c>
      <c r="D25">
        <v>41.027000000000001</v>
      </c>
      <c r="E25">
        <v>40.405000000000001</v>
      </c>
      <c r="I25">
        <f>IF(ISBLANK(LSP_All[[#This Row],[M4+]]),"",ABS(LSP_All[[#This Row],[M4+]]-('statistics-M4'!$I29/365)))</f>
        <v>39.805516207785161</v>
      </c>
      <c r="J25">
        <f>IF(ISBLANK(LSP_All[[#This Row],[M5+]]),"",ABS(LSP_All[[#This Row],[M5+]]-('statistics-M5'!$I29/365)))</f>
        <v>39.805516207785161</v>
      </c>
      <c r="K25">
        <f>IF(ISBLANK(LSP_All[[#This Row],[M6+]]),"",ABS(LSP_All[[#This Row],[M6+]]-('statistics-M6'!$I29/365)))</f>
        <v>37.579386747371778</v>
      </c>
      <c r="L25" t="str">
        <f>IF(ISBLANK(LSP_All[[#This Row],[M7+]]),"",ABS(LSP_All[[#This Row],[M7+]]-('statistics-M7'!$I29/365)))</f>
        <v/>
      </c>
      <c r="M25" t="str">
        <f>IF(ISBLANK(LSP_All[[#This Row],[M8+]]),"",ABS(LSP_All[[#This Row],[M8+]]-('statistics-M8'!$I29/365)))</f>
        <v/>
      </c>
      <c r="O25">
        <f>IF(ISBLANK(LSP_All[[#This Row],[M4+]]),"",ABS(LSP_All[[#This Row],[M4+]]-('statistics-M4'!$F29/365)))</f>
        <v>40.498232876712329</v>
      </c>
      <c r="P25">
        <f>IF(ISBLANK(LSP_All[[#This Row],[M5+]]),"",ABS(LSP_All[[#This Row],[M5+]]-('statistics-M5'!$F29/365)))</f>
        <v>40.498232876712329</v>
      </c>
      <c r="Q25">
        <f>IF(ISBLANK(LSP_All[[#This Row],[M6+]]),"",ABS(LSP_All[[#This Row],[M6+]]-('statistics-M6'!$F29/365)))</f>
        <v>35.815958904109593</v>
      </c>
      <c r="R25" t="str">
        <f>IF(ISBLANK(LSP_All[[#This Row],[M7+]]),"",ABS(LSP_All[[#This Row],[M7+]]-('statistics-M7'!$F29/365)))</f>
        <v/>
      </c>
      <c r="S25" t="str">
        <f>IF(ISBLANK(LSP_All[[#This Row],[M8+]]),"",ABS(LSP_All[[#This Row],[M8+]]-('statistics-M8'!$F29/365)))</f>
        <v/>
      </c>
      <c r="U25">
        <f>IF(ISBLANK(LSP_All[[#This Row],[M4+]]),"",ABS(LSP_All[[#This Row],[M4+]]-('statistics-M4'!$J29/365)))</f>
        <v>40.142068493150688</v>
      </c>
      <c r="V25">
        <f>IF(ISBLANK(LSP_All[[#This Row],[M5+]]),"",ABS(LSP_All[[#This Row],[M5+]]-('statistics-M5'!$J29/365)))</f>
        <v>40.142068493150688</v>
      </c>
      <c r="W25">
        <f>IF(ISBLANK(LSP_All[[#This Row],[M6+]]),"",ABS(LSP_All[[#This Row],[M6+]]-('statistics-M6'!$J29/365)))</f>
        <v>38.637876712328769</v>
      </c>
      <c r="X25" t="str">
        <f>IF(ISBLANK(LSP_All[[#This Row],[M7+]]),"",ABS(LSP_All[[#This Row],[M7+]]-('statistics-M7'!$J29/365)))</f>
        <v/>
      </c>
      <c r="Y25" t="str">
        <f>IF(ISBLANK(LSP_All[[#This Row],[M8+]]),"",ABS(LSP_All[[#This Row],[M8+]]-('statistics-M8'!$J29/365)))</f>
        <v/>
      </c>
    </row>
    <row r="26" spans="1:25" x14ac:dyDescent="0.35">
      <c r="A26" t="s">
        <v>18</v>
      </c>
      <c r="B26">
        <v>2</v>
      </c>
      <c r="C26">
        <v>19.094000000000001</v>
      </c>
      <c r="D26">
        <v>18.765000000000001</v>
      </c>
      <c r="E26">
        <v>18.105</v>
      </c>
      <c r="I26">
        <f>IF(ISBLANK(LSP_All[[#This Row],[M4+]]),"",ABS(LSP_All[[#This Row],[M4+]]-('statistics-M4'!$I30/365)))</f>
        <v>17.600774254081443</v>
      </c>
      <c r="J26">
        <f>IF(ISBLANK(LSP_All[[#This Row],[M5+]]),"",ABS(LSP_All[[#This Row],[M5+]]-('statistics-M5'!$I30/365)))</f>
        <v>17.138052545491721</v>
      </c>
      <c r="K26">
        <f>IF(ISBLANK(LSP_All[[#This Row],[M6+]]),"",ABS(LSP_All[[#This Row],[M6+]]-('statistics-M6'!$I30/365)))</f>
        <v>10.592671232876713</v>
      </c>
      <c r="L26" t="str">
        <f>IF(ISBLANK(LSP_All[[#This Row],[M7+]]),"",ABS(LSP_All[[#This Row],[M7+]]-('statistics-M7'!$I30/365)))</f>
        <v/>
      </c>
      <c r="M26" t="str">
        <f>IF(ISBLANK(LSP_All[[#This Row],[M8+]]),"",ABS(LSP_All[[#This Row],[M8+]]-('statistics-M8'!$I30/365)))</f>
        <v/>
      </c>
      <c r="O26">
        <f>IF(ISBLANK(LSP_All[[#This Row],[M4+]]),"",ABS(LSP_All[[#This Row],[M4+]]-('statistics-M4'!$F30/365)))</f>
        <v>18.461123287671235</v>
      </c>
      <c r="P26">
        <f>IF(ISBLANK(LSP_All[[#This Row],[M5+]]),"",ABS(LSP_All[[#This Row],[M5+]]-('statistics-M5'!$F30/365)))</f>
        <v>18.132123287671234</v>
      </c>
      <c r="Q26">
        <f>IF(ISBLANK(LSP_All[[#This Row],[M6+]]),"",ABS(LSP_All[[#This Row],[M6+]]-('statistics-M6'!$F30/365)))</f>
        <v>17.420068493150687</v>
      </c>
      <c r="R26" t="str">
        <f>IF(ISBLANK(LSP_All[[#This Row],[M7+]]),"",ABS(LSP_All[[#This Row],[M7+]]-('statistics-M7'!$F30/365)))</f>
        <v/>
      </c>
      <c r="S26" t="str">
        <f>IF(ISBLANK(LSP_All[[#This Row],[M8+]]),"",ABS(LSP_All[[#This Row],[M8+]]-('statistics-M8'!$F30/365)))</f>
        <v/>
      </c>
      <c r="U26">
        <f>IF(ISBLANK(LSP_All[[#This Row],[M4+]]),"",ABS(LSP_All[[#This Row],[M4+]]-('statistics-M4'!$J30/365)))</f>
        <v>18.200849315068496</v>
      </c>
      <c r="V26">
        <f>IF(ISBLANK(LSP_All[[#This Row],[M5+]]),"",ABS(LSP_All[[#This Row],[M5+]]-('statistics-M5'!$J30/365)))</f>
        <v>17.800616438356165</v>
      </c>
      <c r="W26">
        <f>IF(ISBLANK(LSP_All[[#This Row],[M6+]]),"",ABS(LSP_All[[#This Row],[M6+]]-('statistics-M6'!$J30/365)))</f>
        <v>13.643356164383562</v>
      </c>
      <c r="X26" t="str">
        <f>IF(ISBLANK(LSP_All[[#This Row],[M7+]]),"",ABS(LSP_All[[#This Row],[M7+]]-('statistics-M7'!$J30/365)))</f>
        <v/>
      </c>
      <c r="Y26" t="str">
        <f>IF(ISBLANK(LSP_All[[#This Row],[M8+]]),"",ABS(LSP_All[[#This Row],[M8+]]-('statistics-M8'!$J30/365)))</f>
        <v/>
      </c>
    </row>
    <row r="27" spans="1:25" x14ac:dyDescent="0.35">
      <c r="A27" t="s">
        <v>18</v>
      </c>
      <c r="B27">
        <v>3</v>
      </c>
      <c r="C27">
        <v>4.68</v>
      </c>
      <c r="D27">
        <v>3.6629999999999998</v>
      </c>
      <c r="E27">
        <v>17.795000000000002</v>
      </c>
      <c r="I27">
        <f>IF(ISBLANK(LSP_All[[#This Row],[M4+]]),"",ABS(LSP_All[[#This Row],[M4+]]-('statistics-M4'!$I31/365)))</f>
        <v>3.2745966514459663</v>
      </c>
      <c r="J27">
        <f>IF(ISBLANK(LSP_All[[#This Row],[M5+]]),"",ABS(LSP_All[[#This Row],[M5+]]-('statistics-M5'!$I31/365)))</f>
        <v>2.0041632607231081</v>
      </c>
      <c r="K27">
        <f>IF(ISBLANK(LSP_All[[#This Row],[M6+]]),"",ABS(LSP_All[[#This Row],[M6+]]-('statistics-M6'!$I31/365)))</f>
        <v>11.378561643835617</v>
      </c>
      <c r="L27" t="str">
        <f>IF(ISBLANK(LSP_All[[#This Row],[M7+]]),"",ABS(LSP_All[[#This Row],[M7+]]-('statistics-M7'!$I31/365)))</f>
        <v/>
      </c>
      <c r="M27" t="str">
        <f>IF(ISBLANK(LSP_All[[#This Row],[M8+]]),"",ABS(LSP_All[[#This Row],[M8+]]-('statistics-M8'!$I31/365)))</f>
        <v/>
      </c>
      <c r="O27">
        <f>IF(ISBLANK(LSP_All[[#This Row],[M4+]]),"",ABS(LSP_All[[#This Row],[M4+]]-('statistics-M4'!$F31/365)))</f>
        <v>4.1841095890410953</v>
      </c>
      <c r="P27">
        <f>IF(ISBLANK(LSP_All[[#This Row],[M5+]]),"",ABS(LSP_All[[#This Row],[M5+]]-('statistics-M5'!$F31/365)))</f>
        <v>3.1671095890410959</v>
      </c>
      <c r="Q27">
        <f>IF(ISBLANK(LSP_All[[#This Row],[M6+]]),"",ABS(LSP_All[[#This Row],[M6+]]-('statistics-M6'!$F31/365)))</f>
        <v>17.252534246575344</v>
      </c>
      <c r="R27" t="str">
        <f>IF(ISBLANK(LSP_All[[#This Row],[M7+]]),"",ABS(LSP_All[[#This Row],[M7+]]-('statistics-M7'!$F31/365)))</f>
        <v/>
      </c>
      <c r="S27" t="str">
        <f>IF(ISBLANK(LSP_All[[#This Row],[M8+]]),"",ABS(LSP_All[[#This Row],[M8+]]-('statistics-M8'!$F31/365)))</f>
        <v/>
      </c>
      <c r="U27">
        <f>IF(ISBLANK(LSP_All[[#This Row],[M4+]]),"",ABS(LSP_All[[#This Row],[M4+]]-('statistics-M4'!$J31/365)))</f>
        <v>3.7142465753424654</v>
      </c>
      <c r="V27">
        <f>IF(ISBLANK(LSP_All[[#This Row],[M5+]]),"",ABS(LSP_All[[#This Row],[M5+]]-('statistics-M5'!$J31/365)))</f>
        <v>2.6219041095890407</v>
      </c>
      <c r="W27">
        <f>IF(ISBLANK(LSP_All[[#This Row],[M6+]]),"",ABS(LSP_All[[#This Row],[M6+]]-('statistics-M6'!$J31/365)))</f>
        <v>12.847054794520549</v>
      </c>
      <c r="X27" t="str">
        <f>IF(ISBLANK(LSP_All[[#This Row],[M7+]]),"",ABS(LSP_All[[#This Row],[M7+]]-('statistics-M7'!$J31/365)))</f>
        <v/>
      </c>
      <c r="Y27" t="str">
        <f>IF(ISBLANK(LSP_All[[#This Row],[M8+]]),"",ABS(LSP_All[[#This Row],[M8+]]-('statistics-M8'!$J31/365)))</f>
        <v/>
      </c>
    </row>
    <row r="28" spans="1:25" x14ac:dyDescent="0.35">
      <c r="A28" t="s">
        <v>19</v>
      </c>
      <c r="B28">
        <v>1</v>
      </c>
      <c r="C28">
        <v>31.516999999999999</v>
      </c>
      <c r="D28">
        <v>31.516999999999999</v>
      </c>
      <c r="E28">
        <v>34.191000000000003</v>
      </c>
      <c r="I28">
        <f>IF(ISBLANK(LSP_All[[#This Row],[M4+]]),"",ABS(LSP_All[[#This Row],[M4+]]-('statistics-M4'!$I32/365)))</f>
        <v>30.328854062118541</v>
      </c>
      <c r="J28">
        <f>IF(ISBLANK(LSP_All[[#This Row],[M5+]]),"",ABS(LSP_All[[#This Row],[M5+]]-('statistics-M5'!$I32/365)))</f>
        <v>30.328854062118541</v>
      </c>
      <c r="K28">
        <f>IF(ISBLANK(LSP_All[[#This Row],[M6+]]),"",ABS(LSP_All[[#This Row],[M6+]]-('statistics-M6'!$I32/365)))</f>
        <v>31.516425993985969</v>
      </c>
      <c r="L28" t="str">
        <f>IF(ISBLANK(LSP_All[[#This Row],[M7+]]),"",ABS(LSP_All[[#This Row],[M7+]]-('statistics-M7'!$I32/365)))</f>
        <v/>
      </c>
      <c r="M28" t="str">
        <f>IF(ISBLANK(LSP_All[[#This Row],[M8+]]),"",ABS(LSP_All[[#This Row],[M8+]]-('statistics-M8'!$I32/365)))</f>
        <v/>
      </c>
      <c r="O28">
        <f>IF(ISBLANK(LSP_All[[#This Row],[M4+]]),"",ABS(LSP_All[[#This Row],[M4+]]-('statistics-M4'!$F32/365)))</f>
        <v>30.985493150684931</v>
      </c>
      <c r="P28">
        <f>IF(ISBLANK(LSP_All[[#This Row],[M5+]]),"",ABS(LSP_All[[#This Row],[M5+]]-('statistics-M5'!$F32/365)))</f>
        <v>30.985493150684931</v>
      </c>
      <c r="Q28">
        <f>IF(ISBLANK(LSP_All[[#This Row],[M6+]]),"",ABS(LSP_All[[#This Row],[M6+]]-('statistics-M6'!$F32/365)))</f>
        <v>33.659493150684931</v>
      </c>
      <c r="R28" t="str">
        <f>IF(ISBLANK(LSP_All[[#This Row],[M7+]]),"",ABS(LSP_All[[#This Row],[M7+]]-('statistics-M7'!$F32/365)))</f>
        <v/>
      </c>
      <c r="S28" t="str">
        <f>IF(ISBLANK(LSP_All[[#This Row],[M8+]]),"",ABS(LSP_All[[#This Row],[M8+]]-('statistics-M8'!$F32/365)))</f>
        <v/>
      </c>
      <c r="U28">
        <f>IF(ISBLANK(LSP_All[[#This Row],[M4+]]),"",ABS(LSP_All[[#This Row],[M4+]]-('statistics-M4'!$J32/365)))</f>
        <v>30.621109589041094</v>
      </c>
      <c r="V28">
        <f>IF(ISBLANK(LSP_All[[#This Row],[M5+]]),"",ABS(LSP_All[[#This Row],[M5+]]-('statistics-M5'!$J32/365)))</f>
        <v>30.621109589041094</v>
      </c>
      <c r="W28">
        <f>IF(ISBLANK(LSP_All[[#This Row],[M6+]]),"",ABS(LSP_All[[#This Row],[M6+]]-('statistics-M6'!$J32/365)))</f>
        <v>32.358123287671233</v>
      </c>
      <c r="X28" t="str">
        <f>IF(ISBLANK(LSP_All[[#This Row],[M7+]]),"",ABS(LSP_All[[#This Row],[M7+]]-('statistics-M7'!$J32/365)))</f>
        <v/>
      </c>
      <c r="Y28" t="str">
        <f>IF(ISBLANK(LSP_All[[#This Row],[M8+]]),"",ABS(LSP_All[[#This Row],[M8+]]-('statistics-M8'!$J32/365)))</f>
        <v/>
      </c>
    </row>
    <row r="29" spans="1:25" x14ac:dyDescent="0.35">
      <c r="A29" t="s">
        <v>19</v>
      </c>
      <c r="B29">
        <v>2</v>
      </c>
      <c r="C29">
        <v>20.637</v>
      </c>
      <c r="D29">
        <v>13.675000000000001</v>
      </c>
      <c r="E29">
        <v>11.814</v>
      </c>
      <c r="I29">
        <f>IF(ISBLANK(LSP_All[[#This Row],[M4+]]),"",ABS(LSP_All[[#This Row],[M4+]]-('statistics-M4'!$I33/365)))</f>
        <v>19.495290932811482</v>
      </c>
      <c r="J29">
        <f>IF(ISBLANK(LSP_All[[#This Row],[M5+]]),"",ABS(LSP_All[[#This Row],[M5+]]-('statistics-M5'!$I33/365)))</f>
        <v>12.50715149073328</v>
      </c>
      <c r="K29">
        <f>IF(ISBLANK(LSP_All[[#This Row],[M6+]]),"",ABS(LSP_All[[#This Row],[M6+]]-('statistics-M6'!$I33/365)))</f>
        <v>8.2284691780821912</v>
      </c>
      <c r="L29" t="str">
        <f>IF(ISBLANK(LSP_All[[#This Row],[M7+]]),"",ABS(LSP_All[[#This Row],[M7+]]-('statistics-M7'!$I33/365)))</f>
        <v/>
      </c>
      <c r="M29" t="str">
        <f>IF(ISBLANK(LSP_All[[#This Row],[M8+]]),"",ABS(LSP_All[[#This Row],[M8+]]-('statistics-M8'!$I33/365)))</f>
        <v/>
      </c>
      <c r="O29">
        <f>IF(ISBLANK(LSP_All[[#This Row],[M4+]]),"",ABS(LSP_All[[#This Row],[M4+]]-('statistics-M4'!$F33/365)))</f>
        <v>20.119191780821918</v>
      </c>
      <c r="P29">
        <f>IF(ISBLANK(LSP_All[[#This Row],[M5+]]),"",ABS(LSP_All[[#This Row],[M5+]]-('statistics-M5'!$F33/365)))</f>
        <v>13.157191780821918</v>
      </c>
      <c r="Q29">
        <f>IF(ISBLANK(LSP_All[[#This Row],[M6+]]),"",ABS(LSP_All[[#This Row],[M6+]]-('statistics-M6'!$F33/365)))</f>
        <v>11.274273972602741</v>
      </c>
      <c r="R29" t="str">
        <f>IF(ISBLANK(LSP_All[[#This Row],[M7+]]),"",ABS(LSP_All[[#This Row],[M7+]]-('statistics-M7'!$F33/365)))</f>
        <v/>
      </c>
      <c r="S29" t="str">
        <f>IF(ISBLANK(LSP_All[[#This Row],[M8+]]),"",ABS(LSP_All[[#This Row],[M8+]]-('statistics-M8'!$F33/365)))</f>
        <v/>
      </c>
      <c r="U29">
        <f>IF(ISBLANK(LSP_All[[#This Row],[M4+]]),"",ABS(LSP_All[[#This Row],[M4+]]-('statistics-M4'!$J33/365)))</f>
        <v>19.784945205479453</v>
      </c>
      <c r="V29">
        <f>IF(ISBLANK(LSP_All[[#This Row],[M5+]]),"",ABS(LSP_All[[#This Row],[M5+]]-('statistics-M5'!$J33/365)))</f>
        <v>12.802397260273974</v>
      </c>
      <c r="W29">
        <f>IF(ISBLANK(LSP_All[[#This Row],[M6+]]),"",ABS(LSP_All[[#This Row],[M6+]]-('statistics-M6'!$J33/365)))</f>
        <v>9.3509863013698631</v>
      </c>
      <c r="X29" t="str">
        <f>IF(ISBLANK(LSP_All[[#This Row],[M7+]]),"",ABS(LSP_All[[#This Row],[M7+]]-('statistics-M7'!$J33/365)))</f>
        <v/>
      </c>
      <c r="Y29" t="str">
        <f>IF(ISBLANK(LSP_All[[#This Row],[M8+]]),"",ABS(LSP_All[[#This Row],[M8+]]-('statistics-M8'!$J33/365)))</f>
        <v/>
      </c>
    </row>
    <row r="30" spans="1:25" x14ac:dyDescent="0.35">
      <c r="A30" t="s">
        <v>19</v>
      </c>
      <c r="B30">
        <v>3</v>
      </c>
      <c r="C30">
        <v>7.7149999999999999</v>
      </c>
      <c r="D30">
        <v>3.3559999999999999</v>
      </c>
      <c r="I30">
        <f>IF(ISBLANK(LSP_All[[#This Row],[M4+]]),"",ABS(LSP_All[[#This Row],[M4+]]-('statistics-M4'!$I34/365)))</f>
        <v>6.2541318699455353</v>
      </c>
      <c r="J30">
        <f>IF(ISBLANK(LSP_All[[#This Row],[M5+]]),"",ABS(LSP_All[[#This Row],[M5+]]-('statistics-M5'!$I34/365)))</f>
        <v>1.7812979896815513</v>
      </c>
      <c r="K30" t="str">
        <f>IF(ISBLANK(LSP_All[[#This Row],[M6+]]),"",ABS(LSP_All[[#This Row],[M6+]]-('statistics-M6'!$I34/365)))</f>
        <v/>
      </c>
      <c r="L30" t="str">
        <f>IF(ISBLANK(LSP_All[[#This Row],[M7+]]),"",ABS(LSP_All[[#This Row],[M7+]]-('statistics-M7'!$I34/365)))</f>
        <v/>
      </c>
      <c r="M30" t="str">
        <f>IF(ISBLANK(LSP_All[[#This Row],[M8+]]),"",ABS(LSP_All[[#This Row],[M8+]]-('statistics-M8'!$I34/365)))</f>
        <v/>
      </c>
      <c r="O30">
        <f>IF(ISBLANK(LSP_All[[#This Row],[M4+]]),"",ABS(LSP_All[[#This Row],[M4+]]-('statistics-M4'!$F34/365)))</f>
        <v>7.1533561643835615</v>
      </c>
      <c r="P30">
        <f>IF(ISBLANK(LSP_All[[#This Row],[M5+]]),"",ABS(LSP_All[[#This Row],[M5+]]-('statistics-M5'!$F34/365)))</f>
        <v>2.7943561643835615</v>
      </c>
      <c r="Q30" t="str">
        <f>IF(ISBLANK(LSP_All[[#This Row],[M6+]]),"",ABS(LSP_All[[#This Row],[M6+]]-('statistics-M6'!$F34/365)))</f>
        <v/>
      </c>
      <c r="R30" t="str">
        <f>IF(ISBLANK(LSP_All[[#This Row],[M7+]]),"",ABS(LSP_All[[#This Row],[M7+]]-('statistics-M7'!$F34/365)))</f>
        <v/>
      </c>
      <c r="S30" t="str">
        <f>IF(ISBLANK(LSP_All[[#This Row],[M8+]]),"",ABS(LSP_All[[#This Row],[M8+]]-('statistics-M8'!$F34/365)))</f>
        <v/>
      </c>
      <c r="U30">
        <f>IF(ISBLANK(LSP_All[[#This Row],[M4+]]),"",ABS(LSP_All[[#This Row],[M4+]]-('statistics-M4'!$J34/365)))</f>
        <v>6.8355479452054793</v>
      </c>
      <c r="V30">
        <f>IF(ISBLANK(LSP_All[[#This Row],[M5+]]),"",ABS(LSP_All[[#This Row],[M5+]]-('statistics-M5'!$J34/365)))</f>
        <v>2.4135342465753422</v>
      </c>
      <c r="W30" t="str">
        <f>IF(ISBLANK(LSP_All[[#This Row],[M6+]]),"",ABS(LSP_All[[#This Row],[M6+]]-('statistics-M6'!$J34/365)))</f>
        <v/>
      </c>
      <c r="X30" t="str">
        <f>IF(ISBLANK(LSP_All[[#This Row],[M7+]]),"",ABS(LSP_All[[#This Row],[M7+]]-('statistics-M7'!$J34/365)))</f>
        <v/>
      </c>
      <c r="Y30" t="str">
        <f>IF(ISBLANK(LSP_All[[#This Row],[M8+]]),"",ABS(LSP_All[[#This Row],[M8+]]-('statistics-M8'!$J34/365)))</f>
        <v/>
      </c>
    </row>
    <row r="31" spans="1:25" x14ac:dyDescent="0.35">
      <c r="A31" t="s">
        <v>20</v>
      </c>
      <c r="B31">
        <v>1</v>
      </c>
      <c r="C31">
        <v>3.16</v>
      </c>
      <c r="D31">
        <v>3.16</v>
      </c>
      <c r="E31">
        <v>19.242000000000001</v>
      </c>
      <c r="I31">
        <f>IF(ISBLANK(LSP_All[[#This Row],[M4+]]),"",ABS(LSP_All[[#This Row],[M4+]]-('statistics-M4'!$I35/365)))</f>
        <v>2.0975390531122331</v>
      </c>
      <c r="J31">
        <f>IF(ISBLANK(LSP_All[[#This Row],[M5+]]),"",ABS(LSP_All[[#This Row],[M5+]]-('statistics-M5'!$I35/365)))</f>
        <v>2.0975390531122331</v>
      </c>
      <c r="K31">
        <f>IF(ISBLANK(LSP_All[[#This Row],[M6+]]),"",ABS(LSP_All[[#This Row],[M6+]]-('statistics-M6'!$I35/365)))</f>
        <v>16.148488824801731</v>
      </c>
      <c r="L31" t="str">
        <f>IF(ISBLANK(LSP_All[[#This Row],[M7+]]),"",ABS(LSP_All[[#This Row],[M7+]]-('statistics-M7'!$I35/365)))</f>
        <v/>
      </c>
      <c r="M31" t="str">
        <f>IF(ISBLANK(LSP_All[[#This Row],[M8+]]),"",ABS(LSP_All[[#This Row],[M8+]]-('statistics-M8'!$I35/365)))</f>
        <v/>
      </c>
      <c r="O31">
        <f>IF(ISBLANK(LSP_All[[#This Row],[M4+]]),"",ABS(LSP_All[[#This Row],[M4+]]-('statistics-M4'!$F35/365)))</f>
        <v>2.486027397260274</v>
      </c>
      <c r="P31">
        <f>IF(ISBLANK(LSP_All[[#This Row],[M5+]]),"",ABS(LSP_All[[#This Row],[M5+]]-('statistics-M5'!$F35/365)))</f>
        <v>2.486027397260274</v>
      </c>
      <c r="Q31">
        <f>IF(ISBLANK(LSP_All[[#This Row],[M6+]]),"",ABS(LSP_All[[#This Row],[M6+]]-('statistics-M6'!$F35/365)))</f>
        <v>18.568027397260273</v>
      </c>
      <c r="R31" t="str">
        <f>IF(ISBLANK(LSP_All[[#This Row],[M7+]]),"",ABS(LSP_All[[#This Row],[M7+]]-('statistics-M7'!$F35/365)))</f>
        <v/>
      </c>
      <c r="S31" t="str">
        <f>IF(ISBLANK(LSP_All[[#This Row],[M8+]]),"",ABS(LSP_All[[#This Row],[M8+]]-('statistics-M8'!$F35/365)))</f>
        <v/>
      </c>
      <c r="U31">
        <f>IF(ISBLANK(LSP_All[[#This Row],[M4+]]),"",ABS(LSP_All[[#This Row],[M4+]]-('statistics-M4'!$J35/365)))</f>
        <v>2.3298630136986302</v>
      </c>
      <c r="V31">
        <f>IF(ISBLANK(LSP_All[[#This Row],[M5+]]),"",ABS(LSP_All[[#This Row],[M5+]]-('statistics-M5'!$J35/365)))</f>
        <v>2.3298630136986302</v>
      </c>
      <c r="W31">
        <f>IF(ISBLANK(LSP_All[[#This Row],[M6+]]),"",ABS(LSP_All[[#This Row],[M6+]]-('statistics-M6'!$J35/365)))</f>
        <v>16.898164383561646</v>
      </c>
      <c r="X31" t="str">
        <f>IF(ISBLANK(LSP_All[[#This Row],[M7+]]),"",ABS(LSP_All[[#This Row],[M7+]]-('statistics-M7'!$J35/365)))</f>
        <v/>
      </c>
      <c r="Y31" t="str">
        <f>IF(ISBLANK(LSP_All[[#This Row],[M8+]]),"",ABS(LSP_All[[#This Row],[M8+]]-('statistics-M8'!$J35/365)))</f>
        <v/>
      </c>
    </row>
    <row r="32" spans="1:25" x14ac:dyDescent="0.35">
      <c r="A32" t="s">
        <v>20</v>
      </c>
      <c r="B32">
        <v>2</v>
      </c>
      <c r="C32">
        <v>3.8879999999999999</v>
      </c>
      <c r="D32">
        <v>3.871</v>
      </c>
      <c r="I32">
        <f>IF(ISBLANK(LSP_All[[#This Row],[M4+]]),"",ABS(LSP_All[[#This Row],[M4+]]-('statistics-M4'!$I36/365)))</f>
        <v>2.4807190842559579</v>
      </c>
      <c r="J32">
        <f>IF(ISBLANK(LSP_All[[#This Row],[M5+]]),"",ABS(LSP_All[[#This Row],[M5+]]-('statistics-M5'!$I36/365)))</f>
        <v>2.0181481942714821</v>
      </c>
      <c r="K32" t="str">
        <f>IF(ISBLANK(LSP_All[[#This Row],[M6+]]),"",ABS(LSP_All[[#This Row],[M6+]]-('statistics-M6'!$I36/365)))</f>
        <v/>
      </c>
      <c r="L32" t="str">
        <f>IF(ISBLANK(LSP_All[[#This Row],[M7+]]),"",ABS(LSP_All[[#This Row],[M7+]]-('statistics-M7'!$I36/365)))</f>
        <v/>
      </c>
      <c r="M32" t="str">
        <f>IF(ISBLANK(LSP_All[[#This Row],[M8+]]),"",ABS(LSP_All[[#This Row],[M8+]]-('statistics-M8'!$I36/365)))</f>
        <v/>
      </c>
      <c r="O32">
        <f>IF(ISBLANK(LSP_All[[#This Row],[M4+]]),"",ABS(LSP_All[[#This Row],[M4+]]-('statistics-M4'!$F36/365)))</f>
        <v>3.2660821917808218</v>
      </c>
      <c r="P32">
        <f>IF(ISBLANK(LSP_All[[#This Row],[M5+]]),"",ABS(LSP_All[[#This Row],[M5+]]-('statistics-M5'!$F36/365)))</f>
        <v>2.816205479452055</v>
      </c>
      <c r="Q32" t="str">
        <f>IF(ISBLANK(LSP_All[[#This Row],[M6+]]),"",ABS(LSP_All[[#This Row],[M6+]]-('statistics-M6'!$F36/365)))</f>
        <v/>
      </c>
      <c r="R32" t="str">
        <f>IF(ISBLANK(LSP_All[[#This Row],[M7+]]),"",ABS(LSP_All[[#This Row],[M7+]]-('statistics-M7'!$F36/365)))</f>
        <v/>
      </c>
      <c r="S32" t="str">
        <f>IF(ISBLANK(LSP_All[[#This Row],[M8+]]),"",ABS(LSP_All[[#This Row],[M8+]]-('statistics-M8'!$F36/365)))</f>
        <v/>
      </c>
      <c r="U32">
        <f>IF(ISBLANK(LSP_All[[#This Row],[M4+]]),"",ABS(LSP_All[[#This Row],[M4+]]-('statistics-M4'!$J36/365)))</f>
        <v>2.9756712328767123</v>
      </c>
      <c r="V32">
        <f>IF(ISBLANK(LSP_All[[#This Row],[M5+]]),"",ABS(LSP_All[[#This Row],[M5+]]-('statistics-M5'!$J36/365)))</f>
        <v>2.6600410958904108</v>
      </c>
      <c r="W32" t="str">
        <f>IF(ISBLANK(LSP_All[[#This Row],[M6+]]),"",ABS(LSP_All[[#This Row],[M6+]]-('statistics-M6'!$J36/365)))</f>
        <v/>
      </c>
      <c r="X32" t="str">
        <f>IF(ISBLANK(LSP_All[[#This Row],[M7+]]),"",ABS(LSP_All[[#This Row],[M7+]]-('statistics-M7'!$J36/365)))</f>
        <v/>
      </c>
      <c r="Y32" t="str">
        <f>IF(ISBLANK(LSP_All[[#This Row],[M8+]]),"",ABS(LSP_All[[#This Row],[M8+]]-('statistics-M8'!$J36/365)))</f>
        <v/>
      </c>
    </row>
    <row r="33" spans="1:25" x14ac:dyDescent="0.35">
      <c r="A33" t="s">
        <v>20</v>
      </c>
      <c r="B33">
        <v>3</v>
      </c>
      <c r="C33">
        <v>17.619</v>
      </c>
      <c r="D33">
        <v>7.1630000000000003</v>
      </c>
      <c r="E33">
        <v>24.204999999999998</v>
      </c>
      <c r="I33">
        <f>IF(ISBLANK(LSP_All[[#This Row],[M4+]]),"",ABS(LSP_All[[#This Row],[M4+]]-('statistics-M4'!$I37/365)))</f>
        <v>15.738829328542556</v>
      </c>
      <c r="J33">
        <f>IF(ISBLANK(LSP_All[[#This Row],[M5+]]),"",ABS(LSP_All[[#This Row],[M5+]]-('statistics-M5'!$I37/365)))</f>
        <v>4.312726027397261</v>
      </c>
      <c r="K33">
        <f>IF(ISBLANK(LSP_All[[#This Row],[M6+]]),"",ABS(LSP_All[[#This Row],[M6+]]-('statistics-M6'!$I37/365)))</f>
        <v>12.349901065449009</v>
      </c>
      <c r="L33" t="str">
        <f>IF(ISBLANK(LSP_All[[#This Row],[M7+]]),"",ABS(LSP_All[[#This Row],[M7+]]-('statistics-M7'!$I37/365)))</f>
        <v/>
      </c>
      <c r="M33" t="str">
        <f>IF(ISBLANK(LSP_All[[#This Row],[M8+]]),"",ABS(LSP_All[[#This Row],[M8+]]-('statistics-M8'!$I37/365)))</f>
        <v/>
      </c>
      <c r="O33">
        <f>IF(ISBLANK(LSP_All[[#This Row],[M4+]]),"",ABS(LSP_All[[#This Row],[M4+]]-('statistics-M4'!$F37/365)))</f>
        <v>17.098452054794521</v>
      </c>
      <c r="P33">
        <f>IF(ISBLANK(LSP_All[[#This Row],[M5+]]),"",ABS(LSP_All[[#This Row],[M5+]]-('statistics-M5'!$F37/365)))</f>
        <v>6.0698493150684936</v>
      </c>
      <c r="Q33">
        <f>IF(ISBLANK(LSP_All[[#This Row],[M6+]]),"",ABS(LSP_All[[#This Row],[M6+]]-('statistics-M6'!$F37/365)))</f>
        <v>22.810479452054793</v>
      </c>
      <c r="R33" t="str">
        <f>IF(ISBLANK(LSP_All[[#This Row],[M7+]]),"",ABS(LSP_All[[#This Row],[M7+]]-('statistics-M7'!$F37/365)))</f>
        <v/>
      </c>
      <c r="S33" t="str">
        <f>IF(ISBLANK(LSP_All[[#This Row],[M8+]]),"",ABS(LSP_All[[#This Row],[M8+]]-('statistics-M8'!$F37/365)))</f>
        <v/>
      </c>
      <c r="U33">
        <f>IF(ISBLANK(LSP_All[[#This Row],[M4+]]),"",ABS(LSP_All[[#This Row],[M4+]]-('statistics-M4'!$J37/365)))</f>
        <v>16.673794520547943</v>
      </c>
      <c r="V33">
        <f>IF(ISBLANK(LSP_All[[#This Row],[M5+]]),"",ABS(LSP_All[[#This Row],[M5+]]-('statistics-M5'!$J37/365)))</f>
        <v>5.4698493150684939</v>
      </c>
      <c r="W33">
        <f>IF(ISBLANK(LSP_All[[#This Row],[M6+]]),"",ABS(LSP_All[[#This Row],[M6+]]-('statistics-M6'!$J37/365)))</f>
        <v>12.095410958904107</v>
      </c>
      <c r="X33" t="str">
        <f>IF(ISBLANK(LSP_All[[#This Row],[M7+]]),"",ABS(LSP_All[[#This Row],[M7+]]-('statistics-M7'!$J37/365)))</f>
        <v/>
      </c>
      <c r="Y33" t="str">
        <f>IF(ISBLANK(LSP_All[[#This Row],[M8+]]),"",ABS(LSP_All[[#This Row],[M8+]]-('statistics-M8'!$J37/365)))</f>
        <v/>
      </c>
    </row>
    <row r="34" spans="1:25" x14ac:dyDescent="0.35">
      <c r="A34" t="s">
        <v>21</v>
      </c>
      <c r="B34">
        <v>1</v>
      </c>
      <c r="C34">
        <v>2.8610000000000002</v>
      </c>
      <c r="D34">
        <v>8.7010000000000005</v>
      </c>
      <c r="E34">
        <v>11.584</v>
      </c>
      <c r="I34">
        <f>IF(ISBLANK(LSP_All[[#This Row],[M4+]]),"",ABS(LSP_All[[#This Row],[M4+]]-('statistics-M4'!$I38/365)))</f>
        <v>1.6399417136717702</v>
      </c>
      <c r="J34">
        <f>IF(ISBLANK(LSP_All[[#This Row],[M5+]]),"",ABS(LSP_All[[#This Row],[M5+]]-('statistics-M5'!$I38/365)))</f>
        <v>7.4678520276685205</v>
      </c>
      <c r="K34">
        <f>IF(ISBLANK(LSP_All[[#This Row],[M6+]]),"",ABS(LSP_All[[#This Row],[M6+]]-('statistics-M6'!$I38/365)))</f>
        <v>9.2644531085352995</v>
      </c>
      <c r="L34" t="str">
        <f>IF(ISBLANK(LSP_All[[#This Row],[M7+]]),"",ABS(LSP_All[[#This Row],[M7+]]-('statistics-M7'!$I38/365)))</f>
        <v/>
      </c>
      <c r="M34" t="str">
        <f>IF(ISBLANK(LSP_All[[#This Row],[M8+]]),"",ABS(LSP_All[[#This Row],[M8+]]-('statistics-M8'!$I38/365)))</f>
        <v/>
      </c>
      <c r="O34">
        <f>IF(ISBLANK(LSP_All[[#This Row],[M4+]]),"",ABS(LSP_All[[#This Row],[M4+]]-('statistics-M4'!$F38/365)))</f>
        <v>2.3020958904109592</v>
      </c>
      <c r="P34">
        <f>IF(ISBLANK(LSP_All[[#This Row],[M5+]]),"",ABS(LSP_All[[#This Row],[M5+]]-('statistics-M5'!$F38/365)))</f>
        <v>8.122917808219178</v>
      </c>
      <c r="Q34">
        <f>IF(ISBLANK(LSP_All[[#This Row],[M6+]]),"",ABS(LSP_All[[#This Row],[M6+]]-('statistics-M6'!$F38/365)))</f>
        <v>10.86345205479452</v>
      </c>
      <c r="R34" t="str">
        <f>IF(ISBLANK(LSP_All[[#This Row],[M7+]]),"",ABS(LSP_All[[#This Row],[M7+]]-('statistics-M7'!$F38/365)))</f>
        <v/>
      </c>
      <c r="S34" t="str">
        <f>IF(ISBLANK(LSP_All[[#This Row],[M8+]]),"",ABS(LSP_All[[#This Row],[M8+]]-('statistics-M8'!$F38/365)))</f>
        <v/>
      </c>
      <c r="U34">
        <f>IF(ISBLANK(LSP_All[[#This Row],[M4+]]),"",ABS(LSP_All[[#This Row],[M4+]]-('statistics-M4'!$J38/365)))</f>
        <v>1.962369863013699</v>
      </c>
      <c r="V34">
        <f>IF(ISBLANK(LSP_All[[#This Row],[M5+]]),"",ABS(LSP_All[[#This Row],[M5+]]-('statistics-M5'!$J38/365)))</f>
        <v>7.7941506849315072</v>
      </c>
      <c r="W34">
        <f>IF(ISBLANK(LSP_All[[#This Row],[M6+]]),"",ABS(LSP_All[[#This Row],[M6+]]-('statistics-M6'!$J38/365)))</f>
        <v>9.9922191780821912</v>
      </c>
      <c r="X34" t="str">
        <f>IF(ISBLANK(LSP_All[[#This Row],[M7+]]),"",ABS(LSP_All[[#This Row],[M7+]]-('statistics-M7'!$J38/365)))</f>
        <v/>
      </c>
      <c r="Y34" t="str">
        <f>IF(ISBLANK(LSP_All[[#This Row],[M8+]]),"",ABS(LSP_All[[#This Row],[M8+]]-('statistics-M8'!$J38/365)))</f>
        <v/>
      </c>
    </row>
    <row r="35" spans="1:25" x14ac:dyDescent="0.35">
      <c r="A35" t="s">
        <v>22</v>
      </c>
      <c r="B35">
        <v>1</v>
      </c>
      <c r="C35">
        <v>4.5069999999999997</v>
      </c>
      <c r="D35">
        <v>4.5229999999999997</v>
      </c>
      <c r="E35">
        <v>14.335000000000001</v>
      </c>
      <c r="I35">
        <f>IF(ISBLANK(LSP_All[[#This Row],[M4+]]),"",ABS(LSP_All[[#This Row],[M4+]]-('statistics-M4'!$I41/365)))</f>
        <v>3.1136666666666661</v>
      </c>
      <c r="J35">
        <f>IF(ISBLANK(LSP_All[[#This Row],[M5+]]),"",ABS(LSP_All[[#This Row],[M5+]]-('statistics-M5'!$I41/365)))</f>
        <v>3.114011235955056</v>
      </c>
      <c r="K35">
        <f>IF(ISBLANK(LSP_All[[#This Row],[M6+]]),"",ABS(LSP_All[[#This Row],[M6+]]-('statistics-M6'!$I41/365)))</f>
        <v>10.662316680096698</v>
      </c>
      <c r="L35" t="str">
        <f>IF(ISBLANK(LSP_All[[#This Row],[M7+]]),"",ABS(LSP_All[[#This Row],[M7+]]-('statistics-M7'!$I41/365)))</f>
        <v/>
      </c>
      <c r="M35" t="str">
        <f>IF(ISBLANK(LSP_All[[#This Row],[M8+]]),"",ABS(LSP_All[[#This Row],[M8+]]-('statistics-M8'!$I41/365)))</f>
        <v/>
      </c>
      <c r="O35">
        <f>IF(ISBLANK(LSP_All[[#This Row],[M4+]]),"",ABS(LSP_All[[#This Row],[M4+]]-('statistics-M4'!$F41/365)))</f>
        <v>3.950835616438356</v>
      </c>
      <c r="P35">
        <f>IF(ISBLANK(LSP_All[[#This Row],[M5+]]),"",ABS(LSP_All[[#This Row],[M5+]]-('statistics-M5'!$F41/365)))</f>
        <v>3.966835616438356</v>
      </c>
      <c r="Q35">
        <f>IF(ISBLANK(LSP_All[[#This Row],[M6+]]),"",ABS(LSP_All[[#This Row],[M6+]]-('statistics-M6'!$F41/365)))</f>
        <v>13.748698630136987</v>
      </c>
      <c r="R35" t="str">
        <f>IF(ISBLANK(LSP_All[[#This Row],[M7+]]),"",ABS(LSP_All[[#This Row],[M7+]]-('statistics-M7'!$F41/365)))</f>
        <v/>
      </c>
      <c r="S35" t="str">
        <f>IF(ISBLANK(LSP_All[[#This Row],[M8+]]),"",ABS(LSP_All[[#This Row],[M8+]]-('statistics-M8'!$F41/365)))</f>
        <v/>
      </c>
      <c r="U35">
        <f>IF(ISBLANK(LSP_All[[#This Row],[M4+]]),"",ABS(LSP_All[[#This Row],[M4+]]-('statistics-M4'!$J41/365)))</f>
        <v>3.6111095890410958</v>
      </c>
      <c r="V35">
        <f>IF(ISBLANK(LSP_All[[#This Row],[M5+]]),"",ABS(LSP_All[[#This Row],[M5+]]-('statistics-M5'!$J41/365)))</f>
        <v>3.5997123287671231</v>
      </c>
      <c r="W35">
        <f>IF(ISBLANK(LSP_All[[#This Row],[M6+]]),"",ABS(LSP_All[[#This Row],[M6+]]-('statistics-M6'!$J41/365)))</f>
        <v>11.233630136986303</v>
      </c>
      <c r="X35" t="str">
        <f>IF(ISBLANK(LSP_All[[#This Row],[M7+]]),"",ABS(LSP_All[[#This Row],[M7+]]-('statistics-M7'!$J41/365)))</f>
        <v/>
      </c>
      <c r="Y35" t="str">
        <f>IF(ISBLANK(LSP_All[[#This Row],[M8+]]),"",ABS(LSP_All[[#This Row],[M8+]]-('statistics-M8'!$J41/365)))</f>
        <v/>
      </c>
    </row>
    <row r="36" spans="1:25" x14ac:dyDescent="0.35">
      <c r="A36" t="s">
        <v>23</v>
      </c>
      <c r="B36">
        <v>1</v>
      </c>
      <c r="C36">
        <v>12.526999999999999</v>
      </c>
      <c r="D36">
        <v>12.526999999999999</v>
      </c>
      <c r="E36">
        <v>12.302</v>
      </c>
      <c r="F36">
        <v>23.352</v>
      </c>
      <c r="I36">
        <f>IF(ISBLANK(LSP_All[[#This Row],[M4+]]),"",ABS(LSP_All[[#This Row],[M4+]]-('statistics-M4'!$I42/365)))</f>
        <v>11.233990538059595</v>
      </c>
      <c r="J36">
        <f>IF(ISBLANK(LSP_All[[#This Row],[M5+]]),"",ABS(LSP_All[[#This Row],[M5+]]-('statistics-M5'!$I42/365)))</f>
        <v>11.233990538059595</v>
      </c>
      <c r="K36">
        <f>IF(ISBLANK(LSP_All[[#This Row],[M6+]]),"",ABS(LSP_All[[#This Row],[M6+]]-('statistics-M6'!$I42/365)))</f>
        <v>9.4748518057285178</v>
      </c>
      <c r="L36">
        <f>IF(ISBLANK(LSP_All[[#This Row],[M7+]]),"",ABS(LSP_All[[#This Row],[M7+]]-('statistics-M7'!$I42/365)))</f>
        <v>12.123506849315071</v>
      </c>
      <c r="M36" t="str">
        <f>IF(ISBLANK(LSP_All[[#This Row],[M8+]]),"",ABS(LSP_All[[#This Row],[M8+]]-('statistics-M8'!$I42/365)))</f>
        <v/>
      </c>
      <c r="O36">
        <f>IF(ISBLANK(LSP_All[[#This Row],[M4+]]),"",ABS(LSP_All[[#This Row],[M4+]]-('statistics-M4'!$F42/365)))</f>
        <v>12.025630136986301</v>
      </c>
      <c r="P36">
        <f>IF(ISBLANK(LSP_All[[#This Row],[M5+]]),"",ABS(LSP_All[[#This Row],[M5+]]-('statistics-M5'!$F42/365)))</f>
        <v>12.025630136986301</v>
      </c>
      <c r="Q36">
        <f>IF(ISBLANK(LSP_All[[#This Row],[M6+]]),"",ABS(LSP_All[[#This Row],[M6+]]-('statistics-M6'!$F42/365)))</f>
        <v>11.425287671232876</v>
      </c>
      <c r="R36">
        <f>IF(ISBLANK(LSP_All[[#This Row],[M7+]]),"",ABS(LSP_All[[#This Row],[M7+]]-('statistics-M7'!$F42/365)))</f>
        <v>22.275287671232878</v>
      </c>
      <c r="S36" t="str">
        <f>IF(ISBLANK(LSP_All[[#This Row],[M8+]]),"",ABS(LSP_All[[#This Row],[M8+]]-('statistics-M8'!$F42/365)))</f>
        <v/>
      </c>
      <c r="U36">
        <f>IF(ISBLANK(LSP_All[[#This Row],[M4+]]),"",ABS(LSP_All[[#This Row],[M4+]]-('statistics-M4'!$J42/365)))</f>
        <v>11.579054794520546</v>
      </c>
      <c r="V36">
        <f>IF(ISBLANK(LSP_All[[#This Row],[M5+]]),"",ABS(LSP_All[[#This Row],[M5+]]-('statistics-M5'!$J42/365)))</f>
        <v>11.579054794520546</v>
      </c>
      <c r="W36">
        <f>IF(ISBLANK(LSP_All[[#This Row],[M6+]]),"",ABS(LSP_All[[#This Row],[M6+]]-('statistics-M6'!$J42/365)))</f>
        <v>10.099260273972602</v>
      </c>
      <c r="X36">
        <f>IF(ISBLANK(LSP_All[[#This Row],[M7+]]),"",ABS(LSP_All[[#This Row],[M7+]]-('statistics-M7'!$J42/365)))</f>
        <v>15.442410958904109</v>
      </c>
      <c r="Y36" t="str">
        <f>IF(ISBLANK(LSP_All[[#This Row],[M8+]]),"",ABS(LSP_All[[#This Row],[M8+]]-('statistics-M8'!$J42/365)))</f>
        <v/>
      </c>
    </row>
    <row r="37" spans="1:25" x14ac:dyDescent="0.35">
      <c r="A37" t="s">
        <v>24</v>
      </c>
      <c r="B37">
        <v>1</v>
      </c>
      <c r="C37">
        <v>29.52</v>
      </c>
      <c r="D37">
        <v>11.239000000000001</v>
      </c>
      <c r="E37">
        <v>9.625</v>
      </c>
      <c r="I37">
        <f>IF(ISBLANK(LSP_All[[#This Row],[M4+]]),"",ABS(LSP_All[[#This Row],[M4+]]-('statistics-M4'!$I44/365)))</f>
        <v>28.181904761904761</v>
      </c>
      <c r="J37">
        <f>IF(ISBLANK(LSP_All[[#This Row],[M5+]]),"",ABS(LSP_All[[#This Row],[M5+]]-('statistics-M5'!$I44/365)))</f>
        <v>9.69185388127854</v>
      </c>
      <c r="K37">
        <f>IF(ISBLANK(LSP_All[[#This Row],[M6+]]),"",ABS(LSP_All[[#This Row],[M6+]]-('statistics-M6'!$I44/365)))</f>
        <v>5.3571591650358776</v>
      </c>
      <c r="L37" t="str">
        <f>IF(ISBLANK(LSP_All[[#This Row],[M7+]]),"",ABS(LSP_All[[#This Row],[M7+]]-('statistics-M7'!$I44/365)))</f>
        <v/>
      </c>
      <c r="M37" t="str">
        <f>IF(ISBLANK(LSP_All[[#This Row],[M8+]]),"",ABS(LSP_All[[#This Row],[M8+]]-('statistics-M8'!$I44/365)))</f>
        <v/>
      </c>
      <c r="O37">
        <f>IF(ISBLANK(LSP_All[[#This Row],[M4+]]),"",ABS(LSP_All[[#This Row],[M4+]]-('statistics-M4'!$F44/365)))</f>
        <v>28.736438356164385</v>
      </c>
      <c r="P37">
        <f>IF(ISBLANK(LSP_All[[#This Row],[M5+]]),"",ABS(LSP_All[[#This Row],[M5+]]-('statistics-M5'!$F44/365)))</f>
        <v>10.455438356164384</v>
      </c>
      <c r="Q37">
        <f>IF(ISBLANK(LSP_All[[#This Row],[M6+]]),"",ABS(LSP_All[[#This Row],[M6+]]-('statistics-M6'!$F44/365)))</f>
        <v>9.0222602739726021</v>
      </c>
      <c r="R37" t="str">
        <f>IF(ISBLANK(LSP_All[[#This Row],[M7+]]),"",ABS(LSP_All[[#This Row],[M7+]]-('statistics-M7'!$F44/365)))</f>
        <v/>
      </c>
      <c r="S37" t="str">
        <f>IF(ISBLANK(LSP_All[[#This Row],[M8+]]),"",ABS(LSP_All[[#This Row],[M8+]]-('statistics-M8'!$F44/365)))</f>
        <v/>
      </c>
      <c r="U37">
        <f>IF(ISBLANK(LSP_All[[#This Row],[M4+]]),"",ABS(LSP_All[[#This Row],[M4+]]-('statistics-M4'!$J44/365)))</f>
        <v>28.689863013698631</v>
      </c>
      <c r="V37">
        <f>IF(ISBLANK(LSP_All[[#This Row],[M5+]]),"",ABS(LSP_All[[#This Row],[M5+]]-('statistics-M5'!$J44/365)))</f>
        <v>10.347219178082193</v>
      </c>
      <c r="W37">
        <f>IF(ISBLANK(LSP_All[[#This Row],[M6+]]),"",ABS(LSP_All[[#This Row],[M6+]]-('statistics-M6'!$J44/365)))</f>
        <v>6.8469178082191782</v>
      </c>
      <c r="X37" t="str">
        <f>IF(ISBLANK(LSP_All[[#This Row],[M7+]]),"",ABS(LSP_All[[#This Row],[M7+]]-('statistics-M7'!$J44/365)))</f>
        <v/>
      </c>
      <c r="Y37" t="str">
        <f>IF(ISBLANK(LSP_All[[#This Row],[M8+]]),"",ABS(LSP_All[[#This Row],[M8+]]-('statistics-M8'!$J44/365)))</f>
        <v/>
      </c>
    </row>
    <row r="38" spans="1:25" x14ac:dyDescent="0.35">
      <c r="A38" t="s">
        <v>24</v>
      </c>
      <c r="B38">
        <v>2</v>
      </c>
      <c r="C38">
        <v>7.9169999999999998</v>
      </c>
      <c r="I38">
        <f>IF(ISBLANK(LSP_All[[#This Row],[M4+]]),"",ABS(LSP_All[[#This Row],[M4+]]-('statistics-M4'!$I45/365)))</f>
        <v>3.9526164383561642</v>
      </c>
      <c r="J38" t="str">
        <f>IF(ISBLANK(LSP_All[[#This Row],[M5+]]),"",ABS(LSP_All[[#This Row],[M5+]]-('statistics-M5'!$I45/365)))</f>
        <v/>
      </c>
      <c r="K38" t="str">
        <f>IF(ISBLANK(LSP_All[[#This Row],[M6+]]),"",ABS(LSP_All[[#This Row],[M6+]]-('statistics-M6'!$I45/365)))</f>
        <v/>
      </c>
      <c r="L38" t="str">
        <f>IF(ISBLANK(LSP_All[[#This Row],[M7+]]),"",ABS(LSP_All[[#This Row],[M7+]]-('statistics-M7'!$I45/365)))</f>
        <v/>
      </c>
      <c r="M38" t="str">
        <f>IF(ISBLANK(LSP_All[[#This Row],[M8+]]),"",ABS(LSP_All[[#This Row],[M8+]]-('statistics-M8'!$I45/365)))</f>
        <v/>
      </c>
      <c r="O38">
        <f>IF(ISBLANK(LSP_All[[#This Row],[M4+]]),"",ABS(LSP_All[[#This Row],[M4+]]-('statistics-M4'!$F45/365)))</f>
        <v>7.2622054794520547</v>
      </c>
      <c r="P38" t="str">
        <f>IF(ISBLANK(LSP_All[[#This Row],[M5+]]),"",ABS(LSP_All[[#This Row],[M5+]]-('statistics-M5'!$F45/365)))</f>
        <v/>
      </c>
      <c r="Q38" t="str">
        <f>IF(ISBLANK(LSP_All[[#This Row],[M6+]]),"",ABS(LSP_All[[#This Row],[M6+]]-('statistics-M6'!$F45/365)))</f>
        <v/>
      </c>
      <c r="R38" t="str">
        <f>IF(ISBLANK(LSP_All[[#This Row],[M7+]]),"",ABS(LSP_All[[#This Row],[M7+]]-('statistics-M7'!$F45/365)))</f>
        <v/>
      </c>
      <c r="S38" t="str">
        <f>IF(ISBLANK(LSP_All[[#This Row],[M8+]]),"",ABS(LSP_All[[#This Row],[M8+]]-('statistics-M8'!$F45/365)))</f>
        <v/>
      </c>
      <c r="U38">
        <f>IF(ISBLANK(LSP_All[[#This Row],[M4+]]),"",ABS(LSP_All[[#This Row],[M4+]]-('statistics-M4'!$J45/365)))</f>
        <v>6.4183698630136981</v>
      </c>
      <c r="V38" t="str">
        <f>IF(ISBLANK(LSP_All[[#This Row],[M5+]]),"",ABS(LSP_All[[#This Row],[M5+]]-('statistics-M5'!$J45/365)))</f>
        <v/>
      </c>
      <c r="W38" t="str">
        <f>IF(ISBLANK(LSP_All[[#This Row],[M6+]]),"",ABS(LSP_All[[#This Row],[M6+]]-('statistics-M6'!$J45/365)))</f>
        <v/>
      </c>
      <c r="X38" t="str">
        <f>IF(ISBLANK(LSP_All[[#This Row],[M7+]]),"",ABS(LSP_All[[#This Row],[M7+]]-('statistics-M7'!$J45/365)))</f>
        <v/>
      </c>
      <c r="Y38" t="str">
        <f>IF(ISBLANK(LSP_All[[#This Row],[M8+]]),"",ABS(LSP_All[[#This Row],[M8+]]-('statistics-M8'!$J45/365)))</f>
        <v/>
      </c>
    </row>
    <row r="39" spans="1:25" x14ac:dyDescent="0.35">
      <c r="A39" t="s">
        <v>25</v>
      </c>
      <c r="B39">
        <v>1</v>
      </c>
      <c r="C39">
        <v>2.0259999999999998</v>
      </c>
      <c r="D39">
        <v>2.0259999999999998</v>
      </c>
      <c r="E39">
        <v>2.0259999999999998</v>
      </c>
      <c r="F39">
        <v>7.1609999999999996</v>
      </c>
      <c r="G39">
        <v>36.299999999999997</v>
      </c>
      <c r="I39">
        <f>IF(ISBLANK(LSP_All[[#This Row],[M4+]]),"",ABS(LSP_All[[#This Row],[M4+]]-('statistics-M4'!$I46/365)))</f>
        <v>1.0782034618243599</v>
      </c>
      <c r="J39">
        <f>IF(ISBLANK(LSP_All[[#This Row],[M5+]]),"",ABS(LSP_All[[#This Row],[M5+]]-('statistics-M5'!$I46/365)))</f>
        <v>1.0782034618243599</v>
      </c>
      <c r="K39">
        <f>IF(ISBLANK(LSP_All[[#This Row],[M6+]]),"",ABS(LSP_All[[#This Row],[M6+]]-('statistics-M6'!$I46/365)))</f>
        <v>1.023821693240512</v>
      </c>
      <c r="L39">
        <f>IF(ISBLANK(LSP_All[[#This Row],[M7+]]),"",ABS(LSP_All[[#This Row],[M7+]]-('statistics-M7'!$I46/365)))</f>
        <v>4.3606177126473398</v>
      </c>
      <c r="M39">
        <f>IF(ISBLANK(LSP_All[[#This Row],[M8+]]),"",ABS(LSP_All[[#This Row],[M8+]]-('statistics-M8'!$I46/365)))</f>
        <v>25.384383561643833</v>
      </c>
      <c r="O39">
        <f>IF(ISBLANK(LSP_All[[#This Row],[M4+]]),"",ABS(LSP_All[[#This Row],[M4+]]-('statistics-M4'!$F46/365)))</f>
        <v>1.1794246575342464</v>
      </c>
      <c r="P39">
        <f>IF(ISBLANK(LSP_All[[#This Row],[M5+]]),"",ABS(LSP_All[[#This Row],[M5+]]-('statistics-M5'!$F46/365)))</f>
        <v>1.1794246575342464</v>
      </c>
      <c r="Q39">
        <f>IF(ISBLANK(LSP_All[[#This Row],[M6+]]),"",ABS(LSP_All[[#This Row],[M6+]]-('statistics-M6'!$F46/365)))</f>
        <v>1.1794246575342464</v>
      </c>
      <c r="R39">
        <f>IF(ISBLANK(LSP_All[[#This Row],[M7+]]),"",ABS(LSP_All[[#This Row],[M7+]]-('statistics-M7'!$F46/365)))</f>
        <v>5.141821917808219</v>
      </c>
      <c r="S39">
        <f>IF(ISBLANK(LSP_All[[#This Row],[M8+]]),"",ABS(LSP_All[[#This Row],[M8+]]-('statistics-M8'!$F46/365)))</f>
        <v>34.839726027397255</v>
      </c>
      <c r="U39">
        <f>IF(ISBLANK(LSP_All[[#This Row],[M4+]]),"",ABS(LSP_All[[#This Row],[M4+]]-('statistics-M4'!$J46/365)))</f>
        <v>1.1794246575342464</v>
      </c>
      <c r="V39">
        <f>IF(ISBLANK(LSP_All[[#This Row],[M5+]]),"",ABS(LSP_All[[#This Row],[M5+]]-('statistics-M5'!$J46/365)))</f>
        <v>1.1794246575342464</v>
      </c>
      <c r="W39">
        <f>IF(ISBLANK(LSP_All[[#This Row],[M6+]]),"",ABS(LSP_All[[#This Row],[M6+]]-('statistics-M6'!$J46/365)))</f>
        <v>1.1424383561643834</v>
      </c>
      <c r="X39">
        <f>IF(ISBLANK(LSP_All[[#This Row],[M7+]]),"",ABS(LSP_All[[#This Row],[M7+]]-('statistics-M7'!$J46/365)))</f>
        <v>5.141821917808219</v>
      </c>
      <c r="Y39">
        <f>IF(ISBLANK(LSP_All[[#This Row],[M8+]]),"",ABS(LSP_All[[#This Row],[M8+]]-('statistics-M8'!$J46/365)))</f>
        <v>26.364383561643834</v>
      </c>
    </row>
    <row r="40" spans="1:25" x14ac:dyDescent="0.35">
      <c r="A40" t="s">
        <v>25</v>
      </c>
      <c r="B40">
        <v>2</v>
      </c>
      <c r="C40">
        <v>3.3090000000000002</v>
      </c>
      <c r="D40">
        <v>3.3090000000000002</v>
      </c>
      <c r="E40">
        <v>21.266999999999999</v>
      </c>
      <c r="I40">
        <f>IF(ISBLANK(LSP_All[[#This Row],[M4+]]),"",ABS(LSP_All[[#This Row],[M4+]]-('statistics-M4'!$I47/365)))</f>
        <v>2.1476682850702273</v>
      </c>
      <c r="J40">
        <f>IF(ISBLANK(LSP_All[[#This Row],[M5+]]),"",ABS(LSP_All[[#This Row],[M5+]]-('statistics-M5'!$I47/365)))</f>
        <v>2.1476682850702273</v>
      </c>
      <c r="K40">
        <f>IF(ISBLANK(LSP_All[[#This Row],[M6+]]),"",ABS(LSP_All[[#This Row],[M6+]]-('statistics-M6'!$I47/365)))</f>
        <v>18.848340244353942</v>
      </c>
      <c r="L40" t="str">
        <f>IF(ISBLANK(LSP_All[[#This Row],[M7+]]),"",ABS(LSP_All[[#This Row],[M7+]]-('statistics-M7'!$I47/365)))</f>
        <v/>
      </c>
      <c r="M40" t="str">
        <f>IF(ISBLANK(LSP_All[[#This Row],[M8+]]),"",ABS(LSP_All[[#This Row],[M8+]]-('statistics-M8'!$I47/365)))</f>
        <v/>
      </c>
      <c r="O40">
        <f>IF(ISBLANK(LSP_All[[#This Row],[M4+]]),"",ABS(LSP_All[[#This Row],[M4+]]-('statistics-M4'!$F47/365)))</f>
        <v>2.7747534246575345</v>
      </c>
      <c r="P40">
        <f>IF(ISBLANK(LSP_All[[#This Row],[M5+]]),"",ABS(LSP_All[[#This Row],[M5+]]-('statistics-M5'!$F47/365)))</f>
        <v>2.7747534246575345</v>
      </c>
      <c r="Q40">
        <f>IF(ISBLANK(LSP_All[[#This Row],[M6+]]),"",ABS(LSP_All[[#This Row],[M6+]]-('statistics-M6'!$F47/365)))</f>
        <v>20.743712328767124</v>
      </c>
      <c r="R40" t="str">
        <f>IF(ISBLANK(LSP_All[[#This Row],[M7+]]),"",ABS(LSP_All[[#This Row],[M7+]]-('statistics-M7'!$F47/365)))</f>
        <v/>
      </c>
      <c r="S40" t="str">
        <f>IF(ISBLANK(LSP_All[[#This Row],[M8+]]),"",ABS(LSP_All[[#This Row],[M8+]]-('statistics-M8'!$F47/365)))</f>
        <v/>
      </c>
      <c r="U40">
        <f>IF(ISBLANK(LSP_All[[#This Row],[M4+]]),"",ABS(LSP_All[[#This Row],[M4+]]-('statistics-M4'!$J47/365)))</f>
        <v>2.484342465753425</v>
      </c>
      <c r="V40">
        <f>IF(ISBLANK(LSP_All[[#This Row],[M5+]]),"",ABS(LSP_All[[#This Row],[M5+]]-('statistics-M5'!$J47/365)))</f>
        <v>2.484342465753425</v>
      </c>
      <c r="W40">
        <f>IF(ISBLANK(LSP_All[[#This Row],[M6+]]),"",ABS(LSP_All[[#This Row],[M6+]]-('statistics-M6'!$J47/365)))</f>
        <v>19.417684931506848</v>
      </c>
      <c r="X40" t="str">
        <f>IF(ISBLANK(LSP_All[[#This Row],[M7+]]),"",ABS(LSP_All[[#This Row],[M7+]]-('statistics-M7'!$J47/365)))</f>
        <v/>
      </c>
      <c r="Y40" t="str">
        <f>IF(ISBLANK(LSP_All[[#This Row],[M8+]]),"",ABS(LSP_All[[#This Row],[M8+]]-('statistics-M8'!$J47/365)))</f>
        <v/>
      </c>
    </row>
    <row r="41" spans="1:25" x14ac:dyDescent="0.35">
      <c r="A41" t="s">
        <v>25</v>
      </c>
      <c r="B41">
        <v>3</v>
      </c>
      <c r="C41">
        <v>18.100999999999999</v>
      </c>
      <c r="D41">
        <v>18.100999999999999</v>
      </c>
      <c r="I41">
        <f>IF(ISBLANK(LSP_All[[#This Row],[M4+]]),"",ABS(LSP_All[[#This Row],[M4+]]-('statistics-M4'!$I48/365)))</f>
        <v>16.612756287057859</v>
      </c>
      <c r="J41">
        <f>IF(ISBLANK(LSP_All[[#This Row],[M5+]]),"",ABS(LSP_All[[#This Row],[M5+]]-('statistics-M5'!$I48/365)))</f>
        <v>16.612756287057859</v>
      </c>
      <c r="K41" t="str">
        <f>IF(ISBLANK(LSP_All[[#This Row],[M6+]]),"",ABS(LSP_All[[#This Row],[M6+]]-('statistics-M6'!$I48/365)))</f>
        <v/>
      </c>
      <c r="L41" t="str">
        <f>IF(ISBLANK(LSP_All[[#This Row],[M7+]]),"",ABS(LSP_All[[#This Row],[M7+]]-('statistics-M7'!$I48/365)))</f>
        <v/>
      </c>
      <c r="M41" t="str">
        <f>IF(ISBLANK(LSP_All[[#This Row],[M8+]]),"",ABS(LSP_All[[#This Row],[M8+]]-('statistics-M8'!$I48/365)))</f>
        <v/>
      </c>
      <c r="O41">
        <f>IF(ISBLANK(LSP_All[[#This Row],[M4+]]),"",ABS(LSP_All[[#This Row],[M4+]]-('statistics-M4'!$F48/365)))</f>
        <v>17.437986301369861</v>
      </c>
      <c r="P41">
        <f>IF(ISBLANK(LSP_All[[#This Row],[M5+]]),"",ABS(LSP_All[[#This Row],[M5+]]-('statistics-M5'!$F48/365)))</f>
        <v>17.437986301369861</v>
      </c>
      <c r="Q41" t="str">
        <f>IF(ISBLANK(LSP_All[[#This Row],[M6+]]),"",ABS(LSP_All[[#This Row],[M6+]]-('statistics-M6'!$F48/365)))</f>
        <v/>
      </c>
      <c r="R41" t="str">
        <f>IF(ISBLANK(LSP_All[[#This Row],[M7+]]),"",ABS(LSP_All[[#This Row],[M7+]]-('statistics-M7'!$F48/365)))</f>
        <v/>
      </c>
      <c r="S41" t="str">
        <f>IF(ISBLANK(LSP_All[[#This Row],[M8+]]),"",ABS(LSP_All[[#This Row],[M8+]]-('statistics-M8'!$F48/365)))</f>
        <v/>
      </c>
      <c r="U41">
        <f>IF(ISBLANK(LSP_All[[#This Row],[M4+]]),"",ABS(LSP_All[[#This Row],[M4+]]-('statistics-M4'!$J48/365)))</f>
        <v>17.300999999999998</v>
      </c>
      <c r="V41">
        <f>IF(ISBLANK(LSP_All[[#This Row],[M5+]]),"",ABS(LSP_All[[#This Row],[M5+]]-('statistics-M5'!$J48/365)))</f>
        <v>17.300999999999998</v>
      </c>
      <c r="W41" t="str">
        <f>IF(ISBLANK(LSP_All[[#This Row],[M6+]]),"",ABS(LSP_All[[#This Row],[M6+]]-('statistics-M6'!$J48/365)))</f>
        <v/>
      </c>
      <c r="X41" t="str">
        <f>IF(ISBLANK(LSP_All[[#This Row],[M7+]]),"",ABS(LSP_All[[#This Row],[M7+]]-('statistics-M7'!$J48/365)))</f>
        <v/>
      </c>
      <c r="Y41" t="str">
        <f>IF(ISBLANK(LSP_All[[#This Row],[M8+]]),"",ABS(LSP_All[[#This Row],[M8+]]-('statistics-M8'!$J48/365)))</f>
        <v/>
      </c>
    </row>
    <row r="42" spans="1:25" x14ac:dyDescent="0.35">
      <c r="A42" t="s">
        <v>26</v>
      </c>
      <c r="B42">
        <v>1</v>
      </c>
      <c r="C42">
        <v>3.5990000000000002</v>
      </c>
      <c r="D42">
        <v>3.5990000000000002</v>
      </c>
      <c r="E42">
        <v>19.265999999999998</v>
      </c>
      <c r="I42">
        <f>IF(ISBLANK(LSP_All[[#This Row],[M4+]]),"",ABS(LSP_All[[#This Row],[M4+]]-('statistics-M4'!$I49/365)))</f>
        <v>2.2235507916740795</v>
      </c>
      <c r="J42">
        <f>IF(ISBLANK(LSP_All[[#This Row],[M5+]]),"",ABS(LSP_All[[#This Row],[M5+]]-('statistics-M5'!$I49/365)))</f>
        <v>2.2235507916740795</v>
      </c>
      <c r="K42">
        <f>IF(ISBLANK(LSP_All[[#This Row],[M6+]]),"",ABS(LSP_All[[#This Row],[M6+]]-('statistics-M6'!$I49/365)))</f>
        <v>14.529387297633871</v>
      </c>
      <c r="L42" t="str">
        <f>IF(ISBLANK(LSP_All[[#This Row],[M7+]]),"",ABS(LSP_All[[#This Row],[M7+]]-('statistics-M7'!$I49/365)))</f>
        <v/>
      </c>
      <c r="M42" t="str">
        <f>IF(ISBLANK(LSP_All[[#This Row],[M8+]]),"",ABS(LSP_All[[#This Row],[M8+]]-('statistics-M8'!$I49/365)))</f>
        <v/>
      </c>
      <c r="O42">
        <f>IF(ISBLANK(LSP_All[[#This Row],[M4+]]),"",ABS(LSP_All[[#This Row],[M4+]]-('statistics-M4'!$F49/365)))</f>
        <v>2.8099589041095894</v>
      </c>
      <c r="P42">
        <f>IF(ISBLANK(LSP_All[[#This Row],[M5+]]),"",ABS(LSP_All[[#This Row],[M5+]]-('statistics-M5'!$F49/365)))</f>
        <v>2.8099589041095894</v>
      </c>
      <c r="Q42">
        <f>IF(ISBLANK(LSP_All[[#This Row],[M6+]]),"",ABS(LSP_All[[#This Row],[M6+]]-('statistics-M6'!$F49/365)))</f>
        <v>16.729013698630133</v>
      </c>
      <c r="R42" t="str">
        <f>IF(ISBLANK(LSP_All[[#This Row],[M7+]]),"",ABS(LSP_All[[#This Row],[M7+]]-('statistics-M7'!$F49/365)))</f>
        <v/>
      </c>
      <c r="S42" t="str">
        <f>IF(ISBLANK(LSP_All[[#This Row],[M8+]]),"",ABS(LSP_All[[#This Row],[M8+]]-('statistics-M8'!$F49/365)))</f>
        <v/>
      </c>
      <c r="U42">
        <f>IF(ISBLANK(LSP_All[[#This Row],[M4+]]),"",ABS(LSP_All[[#This Row],[M4+]]-('statistics-M4'!$J49/365)))</f>
        <v>2.744205479452055</v>
      </c>
      <c r="V42">
        <f>IF(ISBLANK(LSP_All[[#This Row],[M5+]]),"",ABS(LSP_All[[#This Row],[M5+]]-('statistics-M5'!$J49/365)))</f>
        <v>2.744205479452055</v>
      </c>
      <c r="W42">
        <f>IF(ISBLANK(LSP_All[[#This Row],[M6+]]),"",ABS(LSP_All[[#This Row],[M6+]]-('statistics-M6'!$J49/365)))</f>
        <v>16.107095890410957</v>
      </c>
      <c r="X42" t="str">
        <f>IF(ISBLANK(LSP_All[[#This Row],[M7+]]),"",ABS(LSP_All[[#This Row],[M7+]]-('statistics-M7'!$J49/365)))</f>
        <v/>
      </c>
      <c r="Y42" t="str">
        <f>IF(ISBLANK(LSP_All[[#This Row],[M8+]]),"",ABS(LSP_All[[#This Row],[M8+]]-('statistics-M8'!$J49/365)))</f>
        <v/>
      </c>
    </row>
    <row r="43" spans="1:25" x14ac:dyDescent="0.35">
      <c r="A43" t="s">
        <v>26</v>
      </c>
      <c r="B43">
        <v>2</v>
      </c>
      <c r="C43">
        <v>7.5270000000000001</v>
      </c>
      <c r="D43">
        <v>7.5270000000000001</v>
      </c>
      <c r="E43">
        <v>7.3049999999999997</v>
      </c>
      <c r="I43">
        <f>IF(ISBLANK(LSP_All[[#This Row],[M4+]]),"",ABS(LSP_All[[#This Row],[M4+]]-('statistics-M4'!$I50/365)))</f>
        <v>6.0854673416716301</v>
      </c>
      <c r="J43">
        <f>IF(ISBLANK(LSP_All[[#This Row],[M5+]]),"",ABS(LSP_All[[#This Row],[M5+]]-('statistics-M5'!$I50/365)))</f>
        <v>6.0854673416716301</v>
      </c>
      <c r="K43">
        <f>IF(ISBLANK(LSP_All[[#This Row],[M6+]]),"",ABS(LSP_All[[#This Row],[M6+]]-('statistics-M6'!$I50/365)))</f>
        <v>5.1982602739726023</v>
      </c>
      <c r="L43" t="str">
        <f>IF(ISBLANK(LSP_All[[#This Row],[M7+]]),"",ABS(LSP_All[[#This Row],[M7+]]-('statistics-M7'!$I50/365)))</f>
        <v/>
      </c>
      <c r="M43" t="str">
        <f>IF(ISBLANK(LSP_All[[#This Row],[M8+]]),"",ABS(LSP_All[[#This Row],[M8+]]-('statistics-M8'!$I50/365)))</f>
        <v/>
      </c>
      <c r="O43">
        <f>IF(ISBLANK(LSP_All[[#This Row],[M4+]]),"",ABS(LSP_All[[#This Row],[M4+]]-('statistics-M4'!$F50/365)))</f>
        <v>6.9845342465753424</v>
      </c>
      <c r="P43">
        <f>IF(ISBLANK(LSP_All[[#This Row],[M5+]]),"",ABS(LSP_All[[#This Row],[M5+]]-('statistics-M5'!$F50/365)))</f>
        <v>6.9845342465753424</v>
      </c>
      <c r="Q43">
        <f>IF(ISBLANK(LSP_All[[#This Row],[M6+]]),"",ABS(LSP_All[[#This Row],[M6+]]-('statistics-M6'!$F50/365)))</f>
        <v>6.762534246575342</v>
      </c>
      <c r="R43" t="str">
        <f>IF(ISBLANK(LSP_All[[#This Row],[M7+]]),"",ABS(LSP_All[[#This Row],[M7+]]-('statistics-M7'!$F50/365)))</f>
        <v/>
      </c>
      <c r="S43" t="str">
        <f>IF(ISBLANK(LSP_All[[#This Row],[M8+]]),"",ABS(LSP_All[[#This Row],[M8+]]-('statistics-M8'!$F50/365)))</f>
        <v/>
      </c>
      <c r="U43">
        <f>IF(ISBLANK(LSP_All[[#This Row],[M4+]]),"",ABS(LSP_All[[#This Row],[M4+]]-('statistics-M4'!$J50/365)))</f>
        <v>6.702342465753425</v>
      </c>
      <c r="V43">
        <f>IF(ISBLANK(LSP_All[[#This Row],[M5+]]),"",ABS(LSP_All[[#This Row],[M5+]]-('statistics-M5'!$J50/365)))</f>
        <v>6.702342465753425</v>
      </c>
      <c r="W43">
        <f>IF(ISBLANK(LSP_All[[#This Row],[M6+]]),"",ABS(LSP_All[[#This Row],[M6+]]-('statistics-M6'!$J50/365)))</f>
        <v>5.4145890410958906</v>
      </c>
      <c r="X43" t="str">
        <f>IF(ISBLANK(LSP_All[[#This Row],[M7+]]),"",ABS(LSP_All[[#This Row],[M7+]]-('statistics-M7'!$J50/365)))</f>
        <v/>
      </c>
      <c r="Y43" t="str">
        <f>IF(ISBLANK(LSP_All[[#This Row],[M8+]]),"",ABS(LSP_All[[#This Row],[M8+]]-('statistics-M8'!$J50/365)))</f>
        <v/>
      </c>
    </row>
    <row r="44" spans="1:25" x14ac:dyDescent="0.35">
      <c r="A44" t="s">
        <v>26</v>
      </c>
      <c r="B44">
        <v>3</v>
      </c>
      <c r="C44">
        <v>6.2030000000000003</v>
      </c>
      <c r="D44">
        <v>23.978000000000002</v>
      </c>
      <c r="E44">
        <v>20.100999999999999</v>
      </c>
      <c r="I44">
        <f>IF(ISBLANK(LSP_All[[#This Row],[M4+]]),"",ABS(LSP_All[[#This Row],[M4+]]-('statistics-M4'!$I51/365)))</f>
        <v>4.3703884224480785</v>
      </c>
      <c r="J44">
        <f>IF(ISBLANK(LSP_All[[#This Row],[M5+]]),"",ABS(LSP_All[[#This Row],[M5+]]-('statistics-M5'!$I51/365)))</f>
        <v>21.674002236511043</v>
      </c>
      <c r="K44">
        <f>IF(ISBLANK(LSP_All[[#This Row],[M6+]]),"",ABS(LSP_All[[#This Row],[M6+]]-('statistics-M6'!$I51/365)))</f>
        <v>15.48707305936073</v>
      </c>
      <c r="L44" t="str">
        <f>IF(ISBLANK(LSP_All[[#This Row],[M7+]]),"",ABS(LSP_All[[#This Row],[M7+]]-('statistics-M7'!$I51/365)))</f>
        <v/>
      </c>
      <c r="M44" t="str">
        <f>IF(ISBLANK(LSP_All[[#This Row],[M8+]]),"",ABS(LSP_All[[#This Row],[M8+]]-('statistics-M8'!$I51/365)))</f>
        <v/>
      </c>
      <c r="O44">
        <f>IF(ISBLANK(LSP_All[[#This Row],[M4+]]),"",ABS(LSP_All[[#This Row],[M4+]]-('statistics-M4'!$F51/365)))</f>
        <v>5.5646438356164385</v>
      </c>
      <c r="P44">
        <f>IF(ISBLANK(LSP_All[[#This Row],[M5+]]),"",ABS(LSP_All[[#This Row],[M5+]]-('statistics-M5'!$F51/365)))</f>
        <v>23.339643835616439</v>
      </c>
      <c r="Q44">
        <f>IF(ISBLANK(LSP_All[[#This Row],[M6+]]),"",ABS(LSP_All[[#This Row],[M6+]]-('statistics-M6'!$F51/365)))</f>
        <v>19.561273972602738</v>
      </c>
      <c r="R44" t="str">
        <f>IF(ISBLANK(LSP_All[[#This Row],[M7+]]),"",ABS(LSP_All[[#This Row],[M7+]]-('statistics-M7'!$F51/365)))</f>
        <v/>
      </c>
      <c r="S44" t="str">
        <f>IF(ISBLANK(LSP_All[[#This Row],[M8+]]),"",ABS(LSP_All[[#This Row],[M8+]]-('statistics-M8'!$F51/365)))</f>
        <v/>
      </c>
      <c r="U44">
        <f>IF(ISBLANK(LSP_All[[#This Row],[M4+]]),"",ABS(LSP_All[[#This Row],[M4+]]-('statistics-M4'!$J51/365)))</f>
        <v>5.2564246575342466</v>
      </c>
      <c r="V44">
        <f>IF(ISBLANK(LSP_All[[#This Row],[M5+]]),"",ABS(LSP_All[[#This Row],[M5+]]-('statistics-M5'!$J51/365)))</f>
        <v>22.794438356164385</v>
      </c>
      <c r="W44">
        <f>IF(ISBLANK(LSP_All[[#This Row],[M6+]]),"",ABS(LSP_All[[#This Row],[M6+]]-('statistics-M6'!$J51/365)))</f>
        <v>17.574972602739724</v>
      </c>
      <c r="X44" t="str">
        <f>IF(ISBLANK(LSP_All[[#This Row],[M7+]]),"",ABS(LSP_All[[#This Row],[M7+]]-('statistics-M7'!$J51/365)))</f>
        <v/>
      </c>
      <c r="Y44" t="str">
        <f>IF(ISBLANK(LSP_All[[#This Row],[M8+]]),"",ABS(LSP_All[[#This Row],[M8+]]-('statistics-M8'!$J51/365)))</f>
        <v/>
      </c>
    </row>
    <row r="45" spans="1:25" x14ac:dyDescent="0.35">
      <c r="A45" t="s">
        <v>27</v>
      </c>
      <c r="B45">
        <v>1</v>
      </c>
      <c r="C45">
        <v>3.3780000000000001</v>
      </c>
      <c r="D45">
        <v>3.3780000000000001</v>
      </c>
      <c r="E45">
        <v>3.3780000000000001</v>
      </c>
      <c r="F45">
        <v>29.401</v>
      </c>
      <c r="I45">
        <f>IF(ISBLANK(LSP_All[[#This Row],[M4+]]),"",ABS(LSP_All[[#This Row],[M4+]]-('statistics-M4'!$I52/365)))</f>
        <v>2.3125401174168299</v>
      </c>
      <c r="J45">
        <f>IF(ISBLANK(LSP_All[[#This Row],[M5+]]),"",ABS(LSP_All[[#This Row],[M5+]]-('statistics-M5'!$I52/365)))</f>
        <v>2.3125401174168299</v>
      </c>
      <c r="K45">
        <f>IF(ISBLANK(LSP_All[[#This Row],[M6+]]),"",ABS(LSP_All[[#This Row],[M6+]]-('statistics-M6'!$I52/365)))</f>
        <v>2.0809184038117929</v>
      </c>
      <c r="L45">
        <f>IF(ISBLANK(LSP_All[[#This Row],[M7+]]),"",ABS(LSP_All[[#This Row],[M7+]]-('statistics-M7'!$I52/365)))</f>
        <v>25.718808219178083</v>
      </c>
      <c r="M45" t="str">
        <f>IF(ISBLANK(LSP_All[[#This Row],[M8+]]),"",ABS(LSP_All[[#This Row],[M8+]]-('statistics-M8'!$I52/365)))</f>
        <v/>
      </c>
      <c r="O45">
        <f>IF(ISBLANK(LSP_All[[#This Row],[M4+]]),"",ABS(LSP_All[[#This Row],[M4+]]-('statistics-M4'!$F52/365)))</f>
        <v>2.7478630136986304</v>
      </c>
      <c r="P45">
        <f>IF(ISBLANK(LSP_All[[#This Row],[M5+]]),"",ABS(LSP_All[[#This Row],[M5+]]-('statistics-M5'!$F52/365)))</f>
        <v>2.7478630136986304</v>
      </c>
      <c r="Q45">
        <f>IF(ISBLANK(LSP_All[[#This Row],[M6+]]),"",ABS(LSP_All[[#This Row],[M6+]]-('statistics-M6'!$F52/365)))</f>
        <v>2.723205479452055</v>
      </c>
      <c r="R45">
        <f>IF(ISBLANK(LSP_All[[#This Row],[M7+]]),"",ABS(LSP_All[[#This Row],[M7+]]-('statistics-M7'!$F52/365)))</f>
        <v>28.872232876712328</v>
      </c>
      <c r="S45" t="str">
        <f>IF(ISBLANK(LSP_All[[#This Row],[M8+]]),"",ABS(LSP_All[[#This Row],[M8+]]-('statistics-M8'!$F52/365)))</f>
        <v/>
      </c>
      <c r="U45">
        <f>IF(ISBLANK(LSP_All[[#This Row],[M4+]]),"",ABS(LSP_All[[#This Row],[M4+]]-('statistics-M4'!$J52/365)))</f>
        <v>2.4670410958904112</v>
      </c>
      <c r="V45">
        <f>IF(ISBLANK(LSP_All[[#This Row],[M5+]]),"",ABS(LSP_All[[#This Row],[M5+]]-('statistics-M5'!$J52/365)))</f>
        <v>2.4670410958904112</v>
      </c>
      <c r="W45">
        <f>IF(ISBLANK(LSP_All[[#This Row],[M6+]]),"",ABS(LSP_All[[#This Row],[M6+]]-('statistics-M6'!$J52/365)))</f>
        <v>2.3136164383561644</v>
      </c>
      <c r="X45">
        <f>IF(ISBLANK(LSP_All[[#This Row],[M7+]]),"",ABS(LSP_All[[#This Row],[M7+]]-('statistics-M7'!$J52/365)))</f>
        <v>26.083191780821917</v>
      </c>
      <c r="Y45" t="str">
        <f>IF(ISBLANK(LSP_All[[#This Row],[M8+]]),"",ABS(LSP_All[[#This Row],[M8+]]-('statistics-M8'!$J52/365)))</f>
        <v/>
      </c>
    </row>
    <row r="46" spans="1:25" x14ac:dyDescent="0.35">
      <c r="A46" t="s">
        <v>27</v>
      </c>
      <c r="B46">
        <v>2</v>
      </c>
      <c r="C46">
        <v>6.6470000000000002</v>
      </c>
      <c r="I46">
        <f>IF(ISBLANK(LSP_All[[#This Row],[M4+]]),"",ABS(LSP_All[[#This Row],[M4+]]-('statistics-M4'!$I53/365)))</f>
        <v>3.8368021308980218</v>
      </c>
      <c r="J46" t="str">
        <f>IF(ISBLANK(LSP_All[[#This Row],[M5+]]),"",ABS(LSP_All[[#This Row],[M5+]]-('statistics-M5'!$I53/365)))</f>
        <v/>
      </c>
      <c r="K46" t="str">
        <f>IF(ISBLANK(LSP_All[[#This Row],[M6+]]),"",ABS(LSP_All[[#This Row],[M6+]]-('statistics-M6'!$I53/365)))</f>
        <v/>
      </c>
      <c r="L46" t="str">
        <f>IF(ISBLANK(LSP_All[[#This Row],[M7+]]),"",ABS(LSP_All[[#This Row],[M7+]]-('statistics-M7'!$I53/365)))</f>
        <v/>
      </c>
      <c r="M46" t="str">
        <f>IF(ISBLANK(LSP_All[[#This Row],[M8+]]),"",ABS(LSP_All[[#This Row],[M8+]]-('statistics-M8'!$I53/365)))</f>
        <v/>
      </c>
      <c r="O46">
        <f>IF(ISBLANK(LSP_All[[#This Row],[M4+]]),"",ABS(LSP_All[[#This Row],[M4+]]-('statistics-M4'!$F53/365)))</f>
        <v>6.0634383561643839</v>
      </c>
      <c r="P46" t="str">
        <f>IF(ISBLANK(LSP_All[[#This Row],[M5+]]),"",ABS(LSP_All[[#This Row],[M5+]]-('statistics-M5'!$F53/365)))</f>
        <v/>
      </c>
      <c r="Q46" t="str">
        <f>IF(ISBLANK(LSP_All[[#This Row],[M6+]]),"",ABS(LSP_All[[#This Row],[M6+]]-('statistics-M6'!$F53/365)))</f>
        <v/>
      </c>
      <c r="R46" t="str">
        <f>IF(ISBLANK(LSP_All[[#This Row],[M7+]]),"",ABS(LSP_All[[#This Row],[M7+]]-('statistics-M7'!$F53/365)))</f>
        <v/>
      </c>
      <c r="S46" t="str">
        <f>IF(ISBLANK(LSP_All[[#This Row],[M8+]]),"",ABS(LSP_All[[#This Row],[M8+]]-('statistics-M8'!$F53/365)))</f>
        <v/>
      </c>
      <c r="U46">
        <f>IF(ISBLANK(LSP_All[[#This Row],[M4+]]),"",ABS(LSP_All[[#This Row],[M4+]]-('statistics-M4'!$J53/365)))</f>
        <v>4.2867260273972612</v>
      </c>
      <c r="V46" t="str">
        <f>IF(ISBLANK(LSP_All[[#This Row],[M5+]]),"",ABS(LSP_All[[#This Row],[M5+]]-('statistics-M5'!$J53/365)))</f>
        <v/>
      </c>
      <c r="W46" t="str">
        <f>IF(ISBLANK(LSP_All[[#This Row],[M6+]]),"",ABS(LSP_All[[#This Row],[M6+]]-('statistics-M6'!$J53/365)))</f>
        <v/>
      </c>
      <c r="X46" t="str">
        <f>IF(ISBLANK(LSP_All[[#This Row],[M7+]]),"",ABS(LSP_All[[#This Row],[M7+]]-('statistics-M7'!$J53/365)))</f>
        <v/>
      </c>
      <c r="Y46" t="str">
        <f>IF(ISBLANK(LSP_All[[#This Row],[M8+]]),"",ABS(LSP_All[[#This Row],[M8+]]-('statistics-M8'!$J53/365)))</f>
        <v/>
      </c>
    </row>
    <row r="47" spans="1:25" x14ac:dyDescent="0.35">
      <c r="A47" t="s">
        <v>27</v>
      </c>
      <c r="B47">
        <v>3</v>
      </c>
      <c r="C47">
        <v>23.457000000000001</v>
      </c>
      <c r="I47">
        <f>IF(ISBLANK(LSP_All[[#This Row],[M4+]]),"",ABS(LSP_All[[#This Row],[M4+]]-('statistics-M4'!$I54/365)))</f>
        <v>16.225598524762908</v>
      </c>
      <c r="J47" t="str">
        <f>IF(ISBLANK(LSP_All[[#This Row],[M5+]]),"",ABS(LSP_All[[#This Row],[M5+]]-('statistics-M5'!$I54/365)))</f>
        <v/>
      </c>
      <c r="K47" t="str">
        <f>IF(ISBLANK(LSP_All[[#This Row],[M6+]]),"",ABS(LSP_All[[#This Row],[M6+]]-('statistics-M6'!$I54/365)))</f>
        <v/>
      </c>
      <c r="L47" t="str">
        <f>IF(ISBLANK(LSP_All[[#This Row],[M7+]]),"",ABS(LSP_All[[#This Row],[M7+]]-('statistics-M7'!$I54/365)))</f>
        <v/>
      </c>
      <c r="M47" t="str">
        <f>IF(ISBLANK(LSP_All[[#This Row],[M8+]]),"",ABS(LSP_All[[#This Row],[M8+]]-('statistics-M8'!$I54/365)))</f>
        <v/>
      </c>
      <c r="O47">
        <f>IF(ISBLANK(LSP_All[[#This Row],[M4+]]),"",ABS(LSP_All[[#This Row],[M4+]]-('statistics-M4'!$F54/365)))</f>
        <v>22.785767123287673</v>
      </c>
      <c r="P47" t="str">
        <f>IF(ISBLANK(LSP_All[[#This Row],[M5+]]),"",ABS(LSP_All[[#This Row],[M5+]]-('statistics-M5'!$F54/365)))</f>
        <v/>
      </c>
      <c r="Q47" t="str">
        <f>IF(ISBLANK(LSP_All[[#This Row],[M6+]]),"",ABS(LSP_All[[#This Row],[M6+]]-('statistics-M6'!$F54/365)))</f>
        <v/>
      </c>
      <c r="R47" t="str">
        <f>IF(ISBLANK(LSP_All[[#This Row],[M7+]]),"",ABS(LSP_All[[#This Row],[M7+]]-('statistics-M7'!$F54/365)))</f>
        <v/>
      </c>
      <c r="S47" t="str">
        <f>IF(ISBLANK(LSP_All[[#This Row],[M8+]]),"",ABS(LSP_All[[#This Row],[M8+]]-('statistics-M8'!$F54/365)))</f>
        <v/>
      </c>
      <c r="U47">
        <f>IF(ISBLANK(LSP_All[[#This Row],[M4+]]),"",ABS(LSP_All[[#This Row],[M4+]]-('statistics-M4'!$J54/365)))</f>
        <v>21.188506849315068</v>
      </c>
      <c r="V47" t="str">
        <f>IF(ISBLANK(LSP_All[[#This Row],[M5+]]),"",ABS(LSP_All[[#This Row],[M5+]]-('statistics-M5'!$J54/365)))</f>
        <v/>
      </c>
      <c r="W47" t="str">
        <f>IF(ISBLANK(LSP_All[[#This Row],[M6+]]),"",ABS(LSP_All[[#This Row],[M6+]]-('statistics-M6'!$J54/365)))</f>
        <v/>
      </c>
      <c r="X47" t="str">
        <f>IF(ISBLANK(LSP_All[[#This Row],[M7+]]),"",ABS(LSP_All[[#This Row],[M7+]]-('statistics-M7'!$J54/365)))</f>
        <v/>
      </c>
      <c r="Y47" t="str">
        <f>IF(ISBLANK(LSP_All[[#This Row],[M8+]]),"",ABS(LSP_All[[#This Row],[M8+]]-('statistics-M8'!$J54/365)))</f>
        <v/>
      </c>
    </row>
    <row r="48" spans="1:25" x14ac:dyDescent="0.35">
      <c r="A48" t="s">
        <v>28</v>
      </c>
      <c r="B48">
        <v>1</v>
      </c>
      <c r="C48">
        <v>18.219000000000001</v>
      </c>
      <c r="D48">
        <v>18.219000000000001</v>
      </c>
      <c r="E48">
        <v>19.946000000000002</v>
      </c>
      <c r="I48">
        <f>IF(ISBLANK(LSP_All[[#This Row],[M4+]]),"",ABS(LSP_All[[#This Row],[M4+]]-('statistics-M4'!$I55/365)))</f>
        <v>16.698522304179839</v>
      </c>
      <c r="J48">
        <f>IF(ISBLANK(LSP_All[[#This Row],[M5+]]),"",ABS(LSP_All[[#This Row],[M5+]]-('statistics-M5'!$I55/365)))</f>
        <v>16.698522304179839</v>
      </c>
      <c r="K48">
        <f>IF(ISBLANK(LSP_All[[#This Row],[M6+]]),"",ABS(LSP_All[[#This Row],[M6+]]-('statistics-M6'!$I55/365)))</f>
        <v>17.149150684931509</v>
      </c>
      <c r="L48" t="str">
        <f>IF(ISBLANK(LSP_All[[#This Row],[M7+]]),"",ABS(LSP_All[[#This Row],[M7+]]-('statistics-M7'!$I55/365)))</f>
        <v/>
      </c>
      <c r="M48" t="str">
        <f>IF(ISBLANK(LSP_All[[#This Row],[M8+]]),"",ABS(LSP_All[[#This Row],[M8+]]-('statistics-M8'!$I55/365)))</f>
        <v/>
      </c>
      <c r="O48">
        <f>IF(ISBLANK(LSP_All[[#This Row],[M4+]]),"",ABS(LSP_All[[#This Row],[M4+]]-('statistics-M4'!$F55/365)))</f>
        <v>17.303931506849317</v>
      </c>
      <c r="P48">
        <f>IF(ISBLANK(LSP_All[[#This Row],[M5+]]),"",ABS(LSP_All[[#This Row],[M5+]]-('statistics-M5'!$F55/365)))</f>
        <v>17.303931506849317</v>
      </c>
      <c r="Q48">
        <f>IF(ISBLANK(LSP_All[[#This Row],[M6+]]),"",ABS(LSP_All[[#This Row],[M6+]]-('statistics-M6'!$F55/365)))</f>
        <v>19.436410958904112</v>
      </c>
      <c r="R48" t="str">
        <f>IF(ISBLANK(LSP_All[[#This Row],[M7+]]),"",ABS(LSP_All[[#This Row],[M7+]]-('statistics-M7'!$F55/365)))</f>
        <v/>
      </c>
      <c r="S48" t="str">
        <f>IF(ISBLANK(LSP_All[[#This Row],[M8+]]),"",ABS(LSP_All[[#This Row],[M8+]]-('statistics-M8'!$F55/365)))</f>
        <v/>
      </c>
      <c r="U48">
        <f>IF(ISBLANK(LSP_All[[#This Row],[M4+]]),"",ABS(LSP_All[[#This Row],[M4+]]-('statistics-M4'!$J55/365)))</f>
        <v>17.292972602739727</v>
      </c>
      <c r="V48">
        <f>IF(ISBLANK(LSP_All[[#This Row],[M5+]]),"",ABS(LSP_All[[#This Row],[M5+]]-('statistics-M5'!$J55/365)))</f>
        <v>17.292972602739727</v>
      </c>
      <c r="W48">
        <f>IF(ISBLANK(LSP_All[[#This Row],[M6+]]),"",ABS(LSP_All[[#This Row],[M6+]]-('statistics-M6'!$J55/365)))</f>
        <v>18.314493150684932</v>
      </c>
      <c r="X48" t="str">
        <f>IF(ISBLANK(LSP_All[[#This Row],[M7+]]),"",ABS(LSP_All[[#This Row],[M7+]]-('statistics-M7'!$J55/365)))</f>
        <v/>
      </c>
      <c r="Y48" t="str">
        <f>IF(ISBLANK(LSP_All[[#This Row],[M8+]]),"",ABS(LSP_All[[#This Row],[M8+]]-('statistics-M8'!$J55/365)))</f>
        <v/>
      </c>
    </row>
    <row r="49" spans="1:25" x14ac:dyDescent="0.35">
      <c r="A49" t="s">
        <v>28</v>
      </c>
      <c r="B49">
        <v>2</v>
      </c>
      <c r="C49">
        <v>5.61</v>
      </c>
      <c r="D49">
        <v>9.8829999999999991</v>
      </c>
      <c r="I49">
        <f>IF(ISBLANK(LSP_All[[#This Row],[M4+]]),"",ABS(LSP_All[[#This Row],[M4+]]-('statistics-M4'!$I56/365)))</f>
        <v>3.304025065578549</v>
      </c>
      <c r="J49">
        <f>IF(ISBLANK(LSP_All[[#This Row],[M5+]]),"",ABS(LSP_All[[#This Row],[M5+]]-('statistics-M5'!$I56/365)))</f>
        <v>6.0314344422700579</v>
      </c>
      <c r="K49" t="str">
        <f>IF(ISBLANK(LSP_All[[#This Row],[M6+]]),"",ABS(LSP_All[[#This Row],[M6+]]-('statistics-M6'!$I56/365)))</f>
        <v/>
      </c>
      <c r="L49" t="str">
        <f>IF(ISBLANK(LSP_All[[#This Row],[M7+]]),"",ABS(LSP_All[[#This Row],[M7+]]-('statistics-M7'!$I56/365)))</f>
        <v/>
      </c>
      <c r="M49" t="str">
        <f>IF(ISBLANK(LSP_All[[#This Row],[M8+]]),"",ABS(LSP_All[[#This Row],[M8+]]-('statistics-M8'!$I56/365)))</f>
        <v/>
      </c>
      <c r="O49">
        <f>IF(ISBLANK(LSP_All[[#This Row],[M4+]]),"",ABS(LSP_All[[#This Row],[M4+]]-('statistics-M4'!$F56/365)))</f>
        <v>4.305890410958904</v>
      </c>
      <c r="P49">
        <f>IF(ISBLANK(LSP_All[[#This Row],[M5+]]),"",ABS(LSP_All[[#This Row],[M5+]]-('statistics-M5'!$F56/365)))</f>
        <v>9.2556027397260259</v>
      </c>
      <c r="Q49" t="str">
        <f>IF(ISBLANK(LSP_All[[#This Row],[M6+]]),"",ABS(LSP_All[[#This Row],[M6+]]-('statistics-M6'!$F56/365)))</f>
        <v/>
      </c>
      <c r="R49" t="str">
        <f>IF(ISBLANK(LSP_All[[#This Row],[M7+]]),"",ABS(LSP_All[[#This Row],[M7+]]-('statistics-M7'!$F56/365)))</f>
        <v/>
      </c>
      <c r="S49" t="str">
        <f>IF(ISBLANK(LSP_All[[#This Row],[M8+]]),"",ABS(LSP_All[[#This Row],[M8+]]-('statistics-M8'!$F56/365)))</f>
        <v/>
      </c>
      <c r="U49">
        <f>IF(ISBLANK(LSP_All[[#This Row],[M4+]]),"",ABS(LSP_All[[#This Row],[M4+]]-('statistics-M4'!$J56/365)))</f>
        <v>4.615479452054795</v>
      </c>
      <c r="V49">
        <f>IF(ISBLANK(LSP_All[[#This Row],[M5+]]),"",ABS(LSP_All[[#This Row],[M5+]]-('statistics-M5'!$J56/365)))</f>
        <v>7.3912191780821903</v>
      </c>
      <c r="W49" t="str">
        <f>IF(ISBLANK(LSP_All[[#This Row],[M6+]]),"",ABS(LSP_All[[#This Row],[M6+]]-('statistics-M6'!$J56/365)))</f>
        <v/>
      </c>
      <c r="X49" t="str">
        <f>IF(ISBLANK(LSP_All[[#This Row],[M7+]]),"",ABS(LSP_All[[#This Row],[M7+]]-('statistics-M7'!$J56/365)))</f>
        <v/>
      </c>
      <c r="Y49" t="str">
        <f>IF(ISBLANK(LSP_All[[#This Row],[M8+]]),"",ABS(LSP_All[[#This Row],[M8+]]-('statistics-M8'!$J56/365)))</f>
        <v/>
      </c>
    </row>
    <row r="50" spans="1:25" x14ac:dyDescent="0.35">
      <c r="A50" t="s">
        <v>28</v>
      </c>
      <c r="B50">
        <v>3</v>
      </c>
      <c r="C50">
        <v>8.9369999999999994</v>
      </c>
      <c r="I50">
        <f>IF(ISBLANK(LSP_All[[#This Row],[M4+]]),"",ABS(LSP_All[[#This Row],[M4+]]-('statistics-M4'!$I57/365)))</f>
        <v>5.4203659491193728</v>
      </c>
      <c r="J50" t="str">
        <f>IF(ISBLANK(LSP_All[[#This Row],[M5+]]),"",ABS(LSP_All[[#This Row],[M5+]]-('statistics-M5'!$I57/365)))</f>
        <v/>
      </c>
      <c r="K50" t="str">
        <f>IF(ISBLANK(LSP_All[[#This Row],[M6+]]),"",ABS(LSP_All[[#This Row],[M6+]]-('statistics-M6'!$I57/365)))</f>
        <v/>
      </c>
      <c r="L50" t="str">
        <f>IF(ISBLANK(LSP_All[[#This Row],[M7+]]),"",ABS(LSP_All[[#This Row],[M7+]]-('statistics-M7'!$I57/365)))</f>
        <v/>
      </c>
      <c r="M50" t="str">
        <f>IF(ISBLANK(LSP_All[[#This Row],[M8+]]),"",ABS(LSP_All[[#This Row],[M8+]]-('statistics-M8'!$I57/365)))</f>
        <v/>
      </c>
      <c r="O50">
        <f>IF(ISBLANK(LSP_All[[#This Row],[M4+]]),"",ABS(LSP_All[[#This Row],[M4+]]-('statistics-M4'!$F57/365)))</f>
        <v>8.2027534246575335</v>
      </c>
      <c r="P50" t="str">
        <f>IF(ISBLANK(LSP_All[[#This Row],[M5+]]),"",ABS(LSP_All[[#This Row],[M5+]]-('statistics-M5'!$F57/365)))</f>
        <v/>
      </c>
      <c r="Q50" t="str">
        <f>IF(ISBLANK(LSP_All[[#This Row],[M6+]]),"",ABS(LSP_All[[#This Row],[M6+]]-('statistics-M6'!$F57/365)))</f>
        <v/>
      </c>
      <c r="R50" t="str">
        <f>IF(ISBLANK(LSP_All[[#This Row],[M7+]]),"",ABS(LSP_All[[#This Row],[M7+]]-('statistics-M7'!$F57/365)))</f>
        <v/>
      </c>
      <c r="S50" t="str">
        <f>IF(ISBLANK(LSP_All[[#This Row],[M8+]]),"",ABS(LSP_All[[#This Row],[M8+]]-('statistics-M8'!$F57/365)))</f>
        <v/>
      </c>
      <c r="U50">
        <f>IF(ISBLANK(LSP_All[[#This Row],[M4+]]),"",ABS(LSP_All[[#This Row],[M4+]]-('statistics-M4'!$J57/365)))</f>
        <v>7.6972739726027388</v>
      </c>
      <c r="V50" t="str">
        <f>IF(ISBLANK(LSP_All[[#This Row],[M5+]]),"",ABS(LSP_All[[#This Row],[M5+]]-('statistics-M5'!$J57/365)))</f>
        <v/>
      </c>
      <c r="W50" t="str">
        <f>IF(ISBLANK(LSP_All[[#This Row],[M6+]]),"",ABS(LSP_All[[#This Row],[M6+]]-('statistics-M6'!$J57/365)))</f>
        <v/>
      </c>
      <c r="X50" t="str">
        <f>IF(ISBLANK(LSP_All[[#This Row],[M7+]]),"",ABS(LSP_All[[#This Row],[M7+]]-('statistics-M7'!$J57/365)))</f>
        <v/>
      </c>
      <c r="Y50" t="str">
        <f>IF(ISBLANK(LSP_All[[#This Row],[M8+]]),"",ABS(LSP_All[[#This Row],[M8+]]-('statistics-M8'!$J57/365)))</f>
        <v/>
      </c>
    </row>
    <row r="51" spans="1:25" x14ac:dyDescent="0.35">
      <c r="A51" t="s">
        <v>29</v>
      </c>
      <c r="B51">
        <v>1</v>
      </c>
      <c r="C51">
        <v>32.326000000000001</v>
      </c>
      <c r="D51">
        <v>32.326000000000001</v>
      </c>
      <c r="E51">
        <v>32.326000000000001</v>
      </c>
      <c r="F51">
        <v>14.018000000000001</v>
      </c>
      <c r="G51">
        <v>23.388000000000002</v>
      </c>
      <c r="I51">
        <f>IF(ISBLANK(LSP_All[[#This Row],[M4+]]),"",ABS(LSP_All[[#This Row],[M4+]]-('statistics-M4'!$I58/365)))</f>
        <v>31.442639524858702</v>
      </c>
      <c r="J51">
        <f>IF(ISBLANK(LSP_All[[#This Row],[M5+]]),"",ABS(LSP_All[[#This Row],[M5+]]-('statistics-M5'!$I58/365)))</f>
        <v>31.442639524858702</v>
      </c>
      <c r="K51">
        <f>IF(ISBLANK(LSP_All[[#This Row],[M6+]]),"",ABS(LSP_All[[#This Row],[M6+]]-('statistics-M6'!$I58/365)))</f>
        <v>31.442639524858702</v>
      </c>
      <c r="L51">
        <f>IF(ISBLANK(LSP_All[[#This Row],[M7+]]),"",ABS(LSP_All[[#This Row],[M7+]]-('statistics-M7'!$I58/365)))</f>
        <v>12.582539227895392</v>
      </c>
      <c r="M51">
        <f>IF(ISBLANK(LSP_All[[#This Row],[M8+]]),"",ABS(LSP_All[[#This Row],[M8+]]-('statistics-M8'!$I58/365)))</f>
        <v>12.192870624048709</v>
      </c>
      <c r="O51">
        <f>IF(ISBLANK(LSP_All[[#This Row],[M4+]]),"",ABS(LSP_All[[#This Row],[M4+]]-('statistics-M4'!$F58/365)))</f>
        <v>31.810931506849315</v>
      </c>
      <c r="P51">
        <f>IF(ISBLANK(LSP_All[[#This Row],[M5+]]),"",ABS(LSP_All[[#This Row],[M5+]]-('statistics-M5'!$F58/365)))</f>
        <v>31.810931506849315</v>
      </c>
      <c r="Q51">
        <f>IF(ISBLANK(LSP_All[[#This Row],[M6+]]),"",ABS(LSP_All[[#This Row],[M6+]]-('statistics-M6'!$F58/365)))</f>
        <v>31.810931506849315</v>
      </c>
      <c r="R51">
        <f>IF(ISBLANK(LSP_All[[#This Row],[M7+]]),"",ABS(LSP_All[[#This Row],[M7+]]-('statistics-M7'!$F58/365)))</f>
        <v>13.502931506849317</v>
      </c>
      <c r="S51">
        <f>IF(ISBLANK(LSP_All[[#This Row],[M8+]]),"",ABS(LSP_All[[#This Row],[M8+]]-('statistics-M8'!$F58/365)))</f>
        <v>22.163342465753427</v>
      </c>
      <c r="U51">
        <f>IF(ISBLANK(LSP_All[[#This Row],[M4+]]),"",ABS(LSP_All[[#This Row],[M4+]]-('statistics-M4'!$J58/365)))</f>
        <v>31.495863013698632</v>
      </c>
      <c r="V51">
        <f>IF(ISBLANK(LSP_All[[#This Row],[M5+]]),"",ABS(LSP_All[[#This Row],[M5+]]-('statistics-M5'!$J58/365)))</f>
        <v>31.495863013698632</v>
      </c>
      <c r="W51">
        <f>IF(ISBLANK(LSP_All[[#This Row],[M6+]]),"",ABS(LSP_All[[#This Row],[M6+]]-('statistics-M6'!$J58/365)))</f>
        <v>31.495863013698632</v>
      </c>
      <c r="X51">
        <f>IF(ISBLANK(LSP_All[[#This Row],[M7+]]),"",ABS(LSP_All[[#This Row],[M7+]]-('statistics-M7'!$J58/365)))</f>
        <v>12.844027397260275</v>
      </c>
      <c r="Y51">
        <f>IF(ISBLANK(LSP_All[[#This Row],[M8+]]),"",ABS(LSP_All[[#This Row],[M8+]]-('statistics-M8'!$J58/365)))</f>
        <v>14.524986301369864</v>
      </c>
    </row>
    <row r="52" spans="1:25" x14ac:dyDescent="0.35">
      <c r="A52" t="s">
        <v>29</v>
      </c>
      <c r="B52">
        <v>2</v>
      </c>
      <c r="C52">
        <v>7.2919999999999998</v>
      </c>
      <c r="D52">
        <v>9.3249999999999993</v>
      </c>
      <c r="I52">
        <f>IF(ISBLANK(LSP_All[[#This Row],[M4+]]),"",ABS(LSP_All[[#This Row],[M4+]]-('statistics-M4'!$I59/365)))</f>
        <v>4.9803235485975215</v>
      </c>
      <c r="J52">
        <f>IF(ISBLANK(LSP_All[[#This Row],[M5+]]),"",ABS(LSP_All[[#This Row],[M5+]]-('statistics-M5'!$I59/365)))</f>
        <v>6.193051259390189</v>
      </c>
      <c r="K52" t="str">
        <f>IF(ISBLANK(LSP_All[[#This Row],[M6+]]),"",ABS(LSP_All[[#This Row],[M6+]]-('statistics-M6'!$I59/365)))</f>
        <v/>
      </c>
      <c r="L52" t="str">
        <f>IF(ISBLANK(LSP_All[[#This Row],[M7+]]),"",ABS(LSP_All[[#This Row],[M7+]]-('statistics-M7'!$I59/365)))</f>
        <v/>
      </c>
      <c r="M52" t="str">
        <f>IF(ISBLANK(LSP_All[[#This Row],[M8+]]),"",ABS(LSP_All[[#This Row],[M8+]]-('statistics-M8'!$I59/365)))</f>
        <v/>
      </c>
      <c r="O52">
        <f>IF(ISBLANK(LSP_All[[#This Row],[M4+]]),"",ABS(LSP_All[[#This Row],[M4+]]-('statistics-M4'!$F59/365)))</f>
        <v>6.7550136986301368</v>
      </c>
      <c r="P52">
        <f>IF(ISBLANK(LSP_All[[#This Row],[M5+]]),"",ABS(LSP_All[[#This Row],[M5+]]-('statistics-M5'!$F59/365)))</f>
        <v>8.7880136986301363</v>
      </c>
      <c r="Q52" t="str">
        <f>IF(ISBLANK(LSP_All[[#This Row],[M6+]]),"",ABS(LSP_All[[#This Row],[M6+]]-('statistics-M6'!$F59/365)))</f>
        <v/>
      </c>
      <c r="R52" t="str">
        <f>IF(ISBLANK(LSP_All[[#This Row],[M7+]]),"",ABS(LSP_All[[#This Row],[M7+]]-('statistics-M7'!$F59/365)))</f>
        <v/>
      </c>
      <c r="S52" t="str">
        <f>IF(ISBLANK(LSP_All[[#This Row],[M8+]]),"",ABS(LSP_All[[#This Row],[M8+]]-('statistics-M8'!$F59/365)))</f>
        <v/>
      </c>
      <c r="U52">
        <f>IF(ISBLANK(LSP_All[[#This Row],[M4+]]),"",ABS(LSP_All[[#This Row],[M4+]]-('statistics-M4'!$J59/365)))</f>
        <v>6.0933698630136988</v>
      </c>
      <c r="V52">
        <f>IF(ISBLANK(LSP_All[[#This Row],[M5+]]),"",ABS(LSP_All[[#This Row],[M5+]]-('statistics-M5'!$J59/365)))</f>
        <v>7.6756849315068489</v>
      </c>
      <c r="W52" t="str">
        <f>IF(ISBLANK(LSP_All[[#This Row],[M6+]]),"",ABS(LSP_All[[#This Row],[M6+]]-('statistics-M6'!$J59/365)))</f>
        <v/>
      </c>
      <c r="X52" t="str">
        <f>IF(ISBLANK(LSP_All[[#This Row],[M7+]]),"",ABS(LSP_All[[#This Row],[M7+]]-('statistics-M7'!$J59/365)))</f>
        <v/>
      </c>
      <c r="Y52" t="str">
        <f>IF(ISBLANK(LSP_All[[#This Row],[M8+]]),"",ABS(LSP_All[[#This Row],[M8+]]-('statistics-M8'!$J59/365)))</f>
        <v/>
      </c>
    </row>
    <row r="53" spans="1:25" x14ac:dyDescent="0.35">
      <c r="A53" t="s">
        <v>29</v>
      </c>
      <c r="B53">
        <v>3</v>
      </c>
      <c r="C53">
        <v>3.4980000000000002</v>
      </c>
      <c r="D53">
        <v>3.7730000000000001</v>
      </c>
      <c r="E53">
        <v>17.783999999999999</v>
      </c>
      <c r="I53">
        <f>IF(ISBLANK(LSP_All[[#This Row],[M4+]]),"",ABS(LSP_All[[#This Row],[M4+]]-('statistics-M4'!$I60/365)))</f>
        <v>2.0974781474233533</v>
      </c>
      <c r="J53">
        <f>IF(ISBLANK(LSP_All[[#This Row],[M5+]]),"",ABS(LSP_All[[#This Row],[M5+]]-('statistics-M5'!$I60/365)))</f>
        <v>1.8718127853881281</v>
      </c>
      <c r="K53">
        <f>IF(ISBLANK(LSP_All[[#This Row],[M6+]]),"",ABS(LSP_All[[#This Row],[M6+]]-('statistics-M6'!$I60/365)))</f>
        <v>11.44670928462709</v>
      </c>
      <c r="L53" t="str">
        <f>IF(ISBLANK(LSP_All[[#This Row],[M7+]]),"",ABS(LSP_All[[#This Row],[M7+]]-('statistics-M7'!$I60/365)))</f>
        <v/>
      </c>
      <c r="M53" t="str">
        <f>IF(ISBLANK(LSP_All[[#This Row],[M8+]]),"",ABS(LSP_All[[#This Row],[M8+]]-('statistics-M8'!$I60/365)))</f>
        <v/>
      </c>
      <c r="O53">
        <f>IF(ISBLANK(LSP_All[[#This Row],[M4+]]),"",ABS(LSP_All[[#This Row],[M4+]]-('statistics-M4'!$F60/365)))</f>
        <v>2.6925205479452057</v>
      </c>
      <c r="P53">
        <f>IF(ISBLANK(LSP_All[[#This Row],[M5+]]),"",ABS(LSP_All[[#This Row],[M5+]]-('statistics-M5'!$F60/365)))</f>
        <v>3.2058767123287675</v>
      </c>
      <c r="Q53">
        <f>IF(ISBLANK(LSP_All[[#This Row],[M6+]]),"",ABS(LSP_All[[#This Row],[M6+]]-('statistics-M6'!$F60/365)))</f>
        <v>16.978520547945205</v>
      </c>
      <c r="R53" t="str">
        <f>IF(ISBLANK(LSP_All[[#This Row],[M7+]]),"",ABS(LSP_All[[#This Row],[M7+]]-('statistics-M7'!$F60/365)))</f>
        <v/>
      </c>
      <c r="S53" t="str">
        <f>IF(ISBLANK(LSP_All[[#This Row],[M8+]]),"",ABS(LSP_All[[#This Row],[M8+]]-('statistics-M8'!$F60/365)))</f>
        <v/>
      </c>
      <c r="U53">
        <f>IF(ISBLANK(LSP_All[[#This Row],[M4+]]),"",ABS(LSP_All[[#This Row],[M4+]]-('statistics-M4'!$J60/365)))</f>
        <v>2.4514246575342469</v>
      </c>
      <c r="V53">
        <f>IF(ISBLANK(LSP_All[[#This Row],[M5+]]),"",ABS(LSP_All[[#This Row],[M5+]]-('statistics-M5'!$J60/365)))</f>
        <v>2.5058767123287673</v>
      </c>
      <c r="W53">
        <f>IF(ISBLANK(LSP_All[[#This Row],[M6+]]),"",ABS(LSP_All[[#This Row],[M6+]]-('statistics-M6'!$J60/365)))</f>
        <v>14.838794520547944</v>
      </c>
      <c r="X53" t="str">
        <f>IF(ISBLANK(LSP_All[[#This Row],[M7+]]),"",ABS(LSP_All[[#This Row],[M7+]]-('statistics-M7'!$J60/365)))</f>
        <v/>
      </c>
      <c r="Y53" t="str">
        <f>IF(ISBLANK(LSP_All[[#This Row],[M8+]]),"",ABS(LSP_All[[#This Row],[M8+]]-('statistics-M8'!$J60/365)))</f>
        <v/>
      </c>
    </row>
    <row r="54" spans="1:25" x14ac:dyDescent="0.35">
      <c r="A54" t="s">
        <v>30</v>
      </c>
      <c r="B54">
        <v>1</v>
      </c>
      <c r="C54">
        <v>2.988</v>
      </c>
      <c r="D54">
        <v>2.988</v>
      </c>
      <c r="E54">
        <v>3.9489999999999998</v>
      </c>
      <c r="I54">
        <f>IF(ISBLANK(LSP_All[[#This Row],[M4+]]),"",ABS(LSP_All[[#This Row],[M4+]]-('statistics-M4'!$I61/365)))</f>
        <v>1.7423849738737467</v>
      </c>
      <c r="J54">
        <f>IF(ISBLANK(LSP_All[[#This Row],[M5+]]),"",ABS(LSP_All[[#This Row],[M5+]]-('statistics-M5'!$I61/365)))</f>
        <v>1.7423849738737467</v>
      </c>
      <c r="K54">
        <f>IF(ISBLANK(LSP_All[[#This Row],[M6+]]),"",ABS(LSP_All[[#This Row],[M6+]]-('statistics-M6'!$I61/365)))</f>
        <v>2.0715599315068491</v>
      </c>
      <c r="L54" t="str">
        <f>IF(ISBLANK(LSP_All[[#This Row],[M7+]]),"",ABS(LSP_All[[#This Row],[M7+]]-('statistics-M7'!$I61/365)))</f>
        <v/>
      </c>
      <c r="M54" t="str">
        <f>IF(ISBLANK(LSP_All[[#This Row],[M8+]]),"",ABS(LSP_All[[#This Row],[M8+]]-('statistics-M8'!$I61/365)))</f>
        <v/>
      </c>
      <c r="O54">
        <f>IF(ISBLANK(LSP_All[[#This Row],[M4+]]),"",ABS(LSP_All[[#This Row],[M4+]]-('statistics-M4'!$F61/365)))</f>
        <v>2.4811506849315066</v>
      </c>
      <c r="P54">
        <f>IF(ISBLANK(LSP_All[[#This Row],[M5+]]),"",ABS(LSP_All[[#This Row],[M5+]]-('statistics-M5'!$F61/365)))</f>
        <v>2.4811506849315066</v>
      </c>
      <c r="Q54">
        <f>IF(ISBLANK(LSP_All[[#This Row],[M6+]]),"",ABS(LSP_All[[#This Row],[M6+]]-('statistics-M6'!$F61/365)))</f>
        <v>2.1791369863013696</v>
      </c>
      <c r="R54" t="str">
        <f>IF(ISBLANK(LSP_All[[#This Row],[M7+]]),"",ABS(LSP_All[[#This Row],[M7+]]-('statistics-M7'!$F61/365)))</f>
        <v/>
      </c>
      <c r="S54" t="str">
        <f>IF(ISBLANK(LSP_All[[#This Row],[M8+]]),"",ABS(LSP_All[[#This Row],[M8+]]-('statistics-M8'!$F61/365)))</f>
        <v/>
      </c>
      <c r="U54">
        <f>IF(ISBLANK(LSP_All[[#This Row],[M4+]]),"",ABS(LSP_All[[#This Row],[M4+]]-('statistics-M4'!$J61/365)))</f>
        <v>2.1825205479452054</v>
      </c>
      <c r="V54">
        <f>IF(ISBLANK(LSP_All[[#This Row],[M5+]]),"",ABS(LSP_All[[#This Row],[M5+]]-('statistics-M5'!$J61/365)))</f>
        <v>2.1825205479452054</v>
      </c>
      <c r="W54">
        <f>IF(ISBLANK(LSP_All[[#This Row],[M6+]]),"",ABS(LSP_All[[#This Row],[M6+]]-('statistics-M6'!$J61/365)))</f>
        <v>2.655849315068493</v>
      </c>
      <c r="X54" t="str">
        <f>IF(ISBLANK(LSP_All[[#This Row],[M7+]]),"",ABS(LSP_All[[#This Row],[M7+]]-('statistics-M7'!$J61/365)))</f>
        <v/>
      </c>
      <c r="Y54" t="str">
        <f>IF(ISBLANK(LSP_All[[#This Row],[M8+]]),"",ABS(LSP_All[[#This Row],[M8+]]-('statistics-M8'!$J61/365)))</f>
        <v/>
      </c>
    </row>
    <row r="55" spans="1:25" x14ac:dyDescent="0.35">
      <c r="A55" t="s">
        <v>31</v>
      </c>
      <c r="B55">
        <v>1</v>
      </c>
      <c r="C55">
        <v>4.8390000000000004</v>
      </c>
      <c r="D55">
        <v>4.8159999999999998</v>
      </c>
      <c r="E55">
        <v>33.36</v>
      </c>
      <c r="I55">
        <f>IF(ISBLANK(LSP_All[[#This Row],[M4+]]),"",ABS(LSP_All[[#This Row],[M4+]]-('statistics-M4'!$I64/365)))</f>
        <v>3.5413182297154906</v>
      </c>
      <c r="J55">
        <f>IF(ISBLANK(LSP_All[[#This Row],[M5+]]),"",ABS(LSP_All[[#This Row],[M5+]]-('statistics-M5'!$I64/365)))</f>
        <v>3.4481732691595703</v>
      </c>
      <c r="K55">
        <f>IF(ISBLANK(LSP_All[[#This Row],[M6+]]),"",ABS(LSP_All[[#This Row],[M6+]]-('statistics-M6'!$I64/365)))</f>
        <v>31.027091430391845</v>
      </c>
      <c r="L55" t="str">
        <f>IF(ISBLANK(LSP_All[[#This Row],[M7+]]),"",ABS(LSP_All[[#This Row],[M7+]]-('statistics-M7'!$I64/365)))</f>
        <v/>
      </c>
      <c r="M55" t="str">
        <f>IF(ISBLANK(LSP_All[[#This Row],[M8+]]),"",ABS(LSP_All[[#This Row],[M8+]]-('statistics-M8'!$I64/365)))</f>
        <v/>
      </c>
      <c r="O55">
        <f>IF(ISBLANK(LSP_All[[#This Row],[M4+]]),"",ABS(LSP_All[[#This Row],[M4+]]-('statistics-M4'!$F64/365)))</f>
        <v>3.8609178082191784</v>
      </c>
      <c r="P55">
        <f>IF(ISBLANK(LSP_All[[#This Row],[M5+]]),"",ABS(LSP_All[[#This Row],[M5+]]-('statistics-M5'!$F64/365)))</f>
        <v>4.0790136986301366</v>
      </c>
      <c r="Q55">
        <f>IF(ISBLANK(LSP_All[[#This Row],[M6+]]),"",ABS(LSP_All[[#This Row],[M6+]]-('statistics-M6'!$F64/365)))</f>
        <v>32.392876712328764</v>
      </c>
      <c r="R55" t="str">
        <f>IF(ISBLANK(LSP_All[[#This Row],[M7+]]),"",ABS(LSP_All[[#This Row],[M7+]]-('statistics-M7'!$F64/365)))</f>
        <v/>
      </c>
      <c r="S55" t="str">
        <f>IF(ISBLANK(LSP_All[[#This Row],[M8+]]),"",ABS(LSP_All[[#This Row],[M8+]]-('statistics-M8'!$F64/365)))</f>
        <v/>
      </c>
      <c r="U55">
        <f>IF(ISBLANK(LSP_All[[#This Row],[M4+]]),"",ABS(LSP_All[[#This Row],[M4+]]-('statistics-M4'!$J64/365)))</f>
        <v>3.8622876712328771</v>
      </c>
      <c r="V55">
        <f>IF(ISBLANK(LSP_All[[#This Row],[M5+]]),"",ABS(LSP_All[[#This Row],[M5+]]-('statistics-M5'!$J64/365)))</f>
        <v>3.8296986301369862</v>
      </c>
      <c r="W55">
        <f>IF(ISBLANK(LSP_All[[#This Row],[M6+]]),"",ABS(LSP_All[[#This Row],[M6+]]-('statistics-M6'!$J64/365)))</f>
        <v>31.792876712328766</v>
      </c>
      <c r="X55" t="str">
        <f>IF(ISBLANK(LSP_All[[#This Row],[M7+]]),"",ABS(LSP_All[[#This Row],[M7+]]-('statistics-M7'!$J64/365)))</f>
        <v/>
      </c>
      <c r="Y55" t="str">
        <f>IF(ISBLANK(LSP_All[[#This Row],[M8+]]),"",ABS(LSP_All[[#This Row],[M8+]]-('statistics-M8'!$J64/365)))</f>
        <v/>
      </c>
    </row>
    <row r="56" spans="1:25" x14ac:dyDescent="0.35">
      <c r="A56" t="s">
        <v>31</v>
      </c>
      <c r="B56">
        <v>2</v>
      </c>
      <c r="C56">
        <v>3.827</v>
      </c>
      <c r="D56">
        <v>4.6109999999999998</v>
      </c>
      <c r="I56">
        <f>IF(ISBLANK(LSP_All[[#This Row],[M4+]]),"",ABS(LSP_All[[#This Row],[M4+]]-('statistics-M4'!$I65/365)))</f>
        <v>2.1376164383561642</v>
      </c>
      <c r="J56">
        <f>IF(ISBLANK(LSP_All[[#This Row],[M5+]]),"",ABS(LSP_All[[#This Row],[M5+]]-('statistics-M5'!$I65/365)))</f>
        <v>2.5981174584669189</v>
      </c>
      <c r="K56" t="str">
        <f>IF(ISBLANK(LSP_All[[#This Row],[M6+]]),"",ABS(LSP_All[[#This Row],[M6+]]-('statistics-M6'!$I65/365)))</f>
        <v/>
      </c>
      <c r="L56" t="str">
        <f>IF(ISBLANK(LSP_All[[#This Row],[M7+]]),"",ABS(LSP_All[[#This Row],[M7+]]-('statistics-M7'!$I65/365)))</f>
        <v/>
      </c>
      <c r="M56" t="str">
        <f>IF(ISBLANK(LSP_All[[#This Row],[M8+]]),"",ABS(LSP_All[[#This Row],[M8+]]-('statistics-M8'!$I65/365)))</f>
        <v/>
      </c>
      <c r="O56">
        <f>IF(ISBLANK(LSP_All[[#This Row],[M4+]]),"",ABS(LSP_All[[#This Row],[M4+]]-('statistics-M4'!$F65/365)))</f>
        <v>3.3283698630136986</v>
      </c>
      <c r="P56">
        <f>IF(ISBLANK(LSP_All[[#This Row],[M5+]]),"",ABS(LSP_All[[#This Row],[M5+]]-('statistics-M5'!$F65/365)))</f>
        <v>3.5836027397260271</v>
      </c>
      <c r="Q56" t="str">
        <f>IF(ISBLANK(LSP_All[[#This Row],[M6+]]),"",ABS(LSP_All[[#This Row],[M6+]]-('statistics-M6'!$F65/365)))</f>
        <v/>
      </c>
      <c r="R56" t="str">
        <f>IF(ISBLANK(LSP_All[[#This Row],[M7+]]),"",ABS(LSP_All[[#This Row],[M7+]]-('statistics-M7'!$F65/365)))</f>
        <v/>
      </c>
      <c r="S56" t="str">
        <f>IF(ISBLANK(LSP_All[[#This Row],[M8+]]),"",ABS(LSP_All[[#This Row],[M8+]]-('statistics-M8'!$F65/365)))</f>
        <v/>
      </c>
      <c r="U56">
        <f>IF(ISBLANK(LSP_All[[#This Row],[M4+]]),"",ABS(LSP_All[[#This Row],[M4+]]-('statistics-M4'!$J65/365)))</f>
        <v>2.8078219178082193</v>
      </c>
      <c r="V56">
        <f>IF(ISBLANK(LSP_All[[#This Row],[M5+]]),"",ABS(LSP_All[[#This Row],[M5+]]-('statistics-M5'!$J65/365)))</f>
        <v>3.5041506849315067</v>
      </c>
      <c r="W56" t="str">
        <f>IF(ISBLANK(LSP_All[[#This Row],[M6+]]),"",ABS(LSP_All[[#This Row],[M6+]]-('statistics-M6'!$J65/365)))</f>
        <v/>
      </c>
      <c r="X56" t="str">
        <f>IF(ISBLANK(LSP_All[[#This Row],[M7+]]),"",ABS(LSP_All[[#This Row],[M7+]]-('statistics-M7'!$J65/365)))</f>
        <v/>
      </c>
      <c r="Y56" t="str">
        <f>IF(ISBLANK(LSP_All[[#This Row],[M8+]]),"",ABS(LSP_All[[#This Row],[M8+]]-('statistics-M8'!$J65/365)))</f>
        <v/>
      </c>
    </row>
    <row r="57" spans="1:25" x14ac:dyDescent="0.35">
      <c r="A57" t="s">
        <v>31</v>
      </c>
      <c r="B57">
        <v>3</v>
      </c>
      <c r="C57">
        <v>6.0060000000000002</v>
      </c>
      <c r="D57">
        <v>4.6550000000000002</v>
      </c>
      <c r="E57">
        <v>19.635999999999999</v>
      </c>
      <c r="I57">
        <f>IF(ISBLANK(LSP_All[[#This Row],[M4+]]),"",ABS(LSP_All[[#This Row],[M4+]]-('statistics-M4'!$I66/365)))</f>
        <v>4.3334719800747195</v>
      </c>
      <c r="J57">
        <f>IF(ISBLANK(LSP_All[[#This Row],[M5+]]),"",ABS(LSP_All[[#This Row],[M5+]]-('statistics-M5'!$I66/365)))</f>
        <v>2.4917906066536206</v>
      </c>
      <c r="K57">
        <f>IF(ISBLANK(LSP_All[[#This Row],[M6+]]),"",ABS(LSP_All[[#This Row],[M6+]]-('statistics-M6'!$I66/365)))</f>
        <v>15.209972602739725</v>
      </c>
      <c r="L57" t="str">
        <f>IF(ISBLANK(LSP_All[[#This Row],[M7+]]),"",ABS(LSP_All[[#This Row],[M7+]]-('statistics-M7'!$I66/365)))</f>
        <v/>
      </c>
      <c r="M57" t="str">
        <f>IF(ISBLANK(LSP_All[[#This Row],[M8+]]),"",ABS(LSP_All[[#This Row],[M8+]]-('statistics-M8'!$I66/365)))</f>
        <v/>
      </c>
      <c r="O57">
        <f>IF(ISBLANK(LSP_All[[#This Row],[M4+]]),"",ABS(LSP_All[[#This Row],[M4+]]-('statistics-M4'!$F66/365)))</f>
        <v>5.4662739726027398</v>
      </c>
      <c r="P57">
        <f>IF(ISBLANK(LSP_All[[#This Row],[M5+]]),"",ABS(LSP_All[[#This Row],[M5+]]-('statistics-M5'!$F66/365)))</f>
        <v>3.9152739726027401</v>
      </c>
      <c r="Q57">
        <f>IF(ISBLANK(LSP_All[[#This Row],[M6+]]),"",ABS(LSP_All[[#This Row],[M6+]]-('statistics-M6'!$F66/365)))</f>
        <v>18.896273972602739</v>
      </c>
      <c r="R57" t="str">
        <f>IF(ISBLANK(LSP_All[[#This Row],[M7+]]),"",ABS(LSP_All[[#This Row],[M7+]]-('statistics-M7'!$F66/365)))</f>
        <v/>
      </c>
      <c r="S57" t="str">
        <f>IF(ISBLANK(LSP_All[[#This Row],[M8+]]),"",ABS(LSP_All[[#This Row],[M8+]]-('statistics-M8'!$F66/365)))</f>
        <v/>
      </c>
      <c r="U57">
        <f>IF(ISBLANK(LSP_All[[#This Row],[M4+]]),"",ABS(LSP_All[[#This Row],[M4+]]-('statistics-M4'!$J66/365)))</f>
        <v>5.0443561643835615</v>
      </c>
      <c r="V57">
        <f>IF(ISBLANK(LSP_All[[#This Row],[M5+]]),"",ABS(LSP_All[[#This Row],[M5+]]-('statistics-M5'!$J66/365)))</f>
        <v>3.4536301369863018</v>
      </c>
      <c r="W57">
        <f>IF(ISBLANK(LSP_All[[#This Row],[M6+]]),"",ABS(LSP_All[[#This Row],[M6+]]-('statistics-M6'!$J66/365)))</f>
        <v>15.586684931506849</v>
      </c>
      <c r="X57" t="str">
        <f>IF(ISBLANK(LSP_All[[#This Row],[M7+]]),"",ABS(LSP_All[[#This Row],[M7+]]-('statistics-M7'!$J66/365)))</f>
        <v/>
      </c>
      <c r="Y57" t="str">
        <f>IF(ISBLANK(LSP_All[[#This Row],[M8+]]),"",ABS(LSP_All[[#This Row],[M8+]]-('statistics-M8'!$J66/365)))</f>
        <v/>
      </c>
    </row>
    <row r="58" spans="1:25" x14ac:dyDescent="0.35">
      <c r="A58" t="s">
        <v>32</v>
      </c>
      <c r="B58">
        <v>1</v>
      </c>
      <c r="C58">
        <v>2.6819999999999999</v>
      </c>
      <c r="D58">
        <v>2.6819999999999999</v>
      </c>
      <c r="E58">
        <v>2.6760000000000002</v>
      </c>
      <c r="F58">
        <v>7.5190000000000001</v>
      </c>
      <c r="I58">
        <f>IF(ISBLANK(LSP_All[[#This Row],[M4+]]),"",ABS(LSP_All[[#This Row],[M4+]]-('statistics-M4'!$I67/365)))</f>
        <v>1.72594882825767</v>
      </c>
      <c r="J58">
        <f>IF(ISBLANK(LSP_All[[#This Row],[M5+]]),"",ABS(LSP_All[[#This Row],[M5+]]-('statistics-M5'!$I67/365)))</f>
        <v>1.72594882825767</v>
      </c>
      <c r="K58">
        <f>IF(ISBLANK(LSP_All[[#This Row],[M6+]]),"",ABS(LSP_All[[#This Row],[M6+]]-('statistics-M6'!$I67/365)))</f>
        <v>1.6872633181126333</v>
      </c>
      <c r="L58">
        <f>IF(ISBLANK(LSP_All[[#This Row],[M7+]]),"",ABS(LSP_All[[#This Row],[M7+]]-('statistics-M7'!$I67/365)))</f>
        <v>4.1985326349717971</v>
      </c>
      <c r="M58" t="str">
        <f>IF(ISBLANK(LSP_All[[#This Row],[M8+]]),"",ABS(LSP_All[[#This Row],[M8+]]-('statistics-M8'!$I67/365)))</f>
        <v/>
      </c>
      <c r="O58">
        <f>IF(ISBLANK(LSP_All[[#This Row],[M4+]]),"",ABS(LSP_All[[#This Row],[M4+]]-('statistics-M4'!$F67/365)))</f>
        <v>2.1696712328767123</v>
      </c>
      <c r="P58">
        <f>IF(ISBLANK(LSP_All[[#This Row],[M5+]]),"",ABS(LSP_All[[#This Row],[M5+]]-('statistics-M5'!$F67/365)))</f>
        <v>2.1696712328767123</v>
      </c>
      <c r="Q58">
        <f>IF(ISBLANK(LSP_All[[#This Row],[M6+]]),"",ABS(LSP_All[[#This Row],[M6+]]-('statistics-M6'!$F67/365)))</f>
        <v>2.1636712328767125</v>
      </c>
      <c r="R58">
        <f>IF(ISBLANK(LSP_All[[#This Row],[M7+]]),"",ABS(LSP_All[[#This Row],[M7+]]-('statistics-M7'!$F67/365)))</f>
        <v>6.973794520547945</v>
      </c>
      <c r="S58" t="str">
        <f>IF(ISBLANK(LSP_All[[#This Row],[M8+]]),"",ABS(LSP_All[[#This Row],[M8+]]-('statistics-M8'!$F67/365)))</f>
        <v/>
      </c>
      <c r="U58">
        <f>IF(ISBLANK(LSP_All[[#This Row],[M4+]]),"",ABS(LSP_All[[#This Row],[M4+]]-('statistics-M4'!$J67/365)))</f>
        <v>1.7915890410958903</v>
      </c>
      <c r="V58">
        <f>IF(ISBLANK(LSP_All[[#This Row],[M5+]]),"",ABS(LSP_All[[#This Row],[M5+]]-('statistics-M5'!$J67/365)))</f>
        <v>1.7915890410958903</v>
      </c>
      <c r="W58">
        <f>IF(ISBLANK(LSP_All[[#This Row],[M6+]]),"",ABS(LSP_All[[#This Row],[M6+]]-('statistics-M6'!$J67/365)))</f>
        <v>1.7910684931506851</v>
      </c>
      <c r="X58">
        <f>IF(ISBLANK(LSP_All[[#This Row],[M7+]]),"",ABS(LSP_All[[#This Row],[M7+]]-('statistics-M7'!$J67/365)))</f>
        <v>4.9422876712328767</v>
      </c>
      <c r="Y58" t="str">
        <f>IF(ISBLANK(LSP_All[[#This Row],[M8+]]),"",ABS(LSP_All[[#This Row],[M8+]]-('statistics-M8'!$J67/365)))</f>
        <v/>
      </c>
    </row>
    <row r="59" spans="1:25" x14ac:dyDescent="0.35">
      <c r="A59" t="s">
        <v>32</v>
      </c>
      <c r="B59">
        <v>2</v>
      </c>
      <c r="C59">
        <v>30.699000000000002</v>
      </c>
      <c r="D59">
        <v>4.8899999999999997</v>
      </c>
      <c r="E59">
        <v>12.504</v>
      </c>
      <c r="F59">
        <v>16.395</v>
      </c>
      <c r="I59">
        <f>IF(ISBLANK(LSP_All[[#This Row],[M4+]]),"",ABS(LSP_All[[#This Row],[M4+]]-('statistics-M4'!$I68/365)))</f>
        <v>29.43224738114424</v>
      </c>
      <c r="J59">
        <f>IF(ISBLANK(LSP_All[[#This Row],[M5+]]),"",ABS(LSP_All[[#This Row],[M5+]]-('statistics-M5'!$I68/365)))</f>
        <v>3.544075342465753</v>
      </c>
      <c r="K59">
        <f>IF(ISBLANK(LSP_All[[#This Row],[M6+]]),"",ABS(LSP_All[[#This Row],[M6+]]-('statistics-M6'!$I68/365)))</f>
        <v>9.5938926323583864</v>
      </c>
      <c r="L59">
        <f>IF(ISBLANK(LSP_All[[#This Row],[M7+]]),"",ABS(LSP_All[[#This Row],[M7+]]-('statistics-M7'!$I68/365)))</f>
        <v>9.3322602739726008</v>
      </c>
      <c r="M59" t="str">
        <f>IF(ISBLANK(LSP_All[[#This Row],[M8+]]),"",ABS(LSP_All[[#This Row],[M8+]]-('statistics-M8'!$I68/365)))</f>
        <v/>
      </c>
      <c r="O59">
        <f>IF(ISBLANK(LSP_All[[#This Row],[M4+]]),"",ABS(LSP_All[[#This Row],[M4+]]-('statistics-M4'!$F68/365)))</f>
        <v>30.104479452054797</v>
      </c>
      <c r="P59">
        <f>IF(ISBLANK(LSP_All[[#This Row],[M5+]]),"",ABS(LSP_All[[#This Row],[M5+]]-('statistics-M5'!$F68/365)))</f>
        <v>4.0653424657534245</v>
      </c>
      <c r="Q59">
        <f>IF(ISBLANK(LSP_All[[#This Row],[M6+]]),"",ABS(LSP_All[[#This Row],[M6+]]-('statistics-M6'!$F68/365)))</f>
        <v>10.884821917808219</v>
      </c>
      <c r="R59">
        <f>IF(ISBLANK(LSP_All[[#This Row],[M7+]]),"",ABS(LSP_All[[#This Row],[M7+]]-('statistics-M7'!$F68/365)))</f>
        <v>15.137465753424657</v>
      </c>
      <c r="S59" t="str">
        <f>IF(ISBLANK(LSP_All[[#This Row],[M8+]]),"",ABS(LSP_All[[#This Row],[M8+]]-('statistics-M8'!$F68/365)))</f>
        <v/>
      </c>
      <c r="U59">
        <f>IF(ISBLANK(LSP_All[[#This Row],[M4+]]),"",ABS(LSP_All[[#This Row],[M4+]]-('statistics-M4'!$J68/365)))</f>
        <v>29.855164383561647</v>
      </c>
      <c r="V59">
        <f>IF(ISBLANK(LSP_All[[#This Row],[M5+]]),"",ABS(LSP_All[[#This Row],[M5+]]-('statistics-M5'!$J68/365)))</f>
        <v>3.9927397260273967</v>
      </c>
      <c r="W59">
        <f>IF(ISBLANK(LSP_All[[#This Row],[M6+]]),"",ABS(LSP_All[[#This Row],[M6+]]-('statistics-M6'!$J68/365)))</f>
        <v>9.882082191780821</v>
      </c>
      <c r="X59">
        <f>IF(ISBLANK(LSP_All[[#This Row],[M7+]]),"",ABS(LSP_All[[#This Row],[M7+]]-('statistics-M7'!$J68/365)))</f>
        <v>8.362123287671233</v>
      </c>
      <c r="Y59" t="str">
        <f>IF(ISBLANK(LSP_All[[#This Row],[M8+]]),"",ABS(LSP_All[[#This Row],[M8+]]-('statistics-M8'!$J68/365)))</f>
        <v/>
      </c>
    </row>
    <row r="60" spans="1:25" x14ac:dyDescent="0.35">
      <c r="A60" t="s">
        <v>34</v>
      </c>
      <c r="B60">
        <v>1</v>
      </c>
      <c r="C60">
        <v>6.1429999999999998</v>
      </c>
      <c r="D60">
        <v>9.1329999999999991</v>
      </c>
      <c r="I60">
        <f>IF(ISBLANK(LSP_All[[#This Row],[M4+]]),"",ABS(LSP_All[[#This Row],[M4+]]-('statistics-M4'!$I70/365)))</f>
        <v>3.7601803652968036</v>
      </c>
      <c r="J60">
        <f>IF(ISBLANK(LSP_All[[#This Row],[M5+]]),"",ABS(LSP_All[[#This Row],[M5+]]-('statistics-M5'!$I70/365)))</f>
        <v>4.4470410958904099</v>
      </c>
      <c r="K60" t="str">
        <f>IF(ISBLANK(LSP_All[[#This Row],[M6+]]),"",ABS(LSP_All[[#This Row],[M6+]]-('statistics-M6'!$I70/365)))</f>
        <v/>
      </c>
      <c r="L60" t="str">
        <f>IF(ISBLANK(LSP_All[[#This Row],[M7+]]),"",ABS(LSP_All[[#This Row],[M7+]]-('statistics-M7'!$I70/365)))</f>
        <v/>
      </c>
      <c r="M60" t="str">
        <f>IF(ISBLANK(LSP_All[[#This Row],[M8+]]),"",ABS(LSP_All[[#This Row],[M8+]]-('statistics-M8'!$I70/365)))</f>
        <v/>
      </c>
      <c r="O60">
        <f>IF(ISBLANK(LSP_All[[#This Row],[M4+]]),"",ABS(LSP_All[[#This Row],[M4+]]-('statistics-M4'!$F70/365)))</f>
        <v>5.5512191780821913</v>
      </c>
      <c r="P60">
        <f>IF(ISBLANK(LSP_All[[#This Row],[M5+]]),"",ABS(LSP_All[[#This Row],[M5+]]-('statistics-M5'!$F70/365)))</f>
        <v>8.6288904109589026</v>
      </c>
      <c r="Q60" t="str">
        <f>IF(ISBLANK(LSP_All[[#This Row],[M6+]]),"",ABS(LSP_All[[#This Row],[M6+]]-('statistics-M6'!$F70/365)))</f>
        <v/>
      </c>
      <c r="R60" t="str">
        <f>IF(ISBLANK(LSP_All[[#This Row],[M7+]]),"",ABS(LSP_All[[#This Row],[M7+]]-('statistics-M7'!$F70/365)))</f>
        <v/>
      </c>
      <c r="S60" t="str">
        <f>IF(ISBLANK(LSP_All[[#This Row],[M8+]]),"",ABS(LSP_All[[#This Row],[M8+]]-('statistics-M8'!$F70/365)))</f>
        <v/>
      </c>
      <c r="U60">
        <f>IF(ISBLANK(LSP_All[[#This Row],[M4+]]),"",ABS(LSP_All[[#This Row],[M4+]]-('statistics-M4'!$J70/365)))</f>
        <v>5.1210821917808218</v>
      </c>
      <c r="V60">
        <f>IF(ISBLANK(LSP_All[[#This Row],[M5+]]),"",ABS(LSP_All[[#This Row],[M5+]]-('statistics-M5'!$J70/365)))</f>
        <v>6.5138219178082188</v>
      </c>
      <c r="W60" t="str">
        <f>IF(ISBLANK(LSP_All[[#This Row],[M6+]]),"",ABS(LSP_All[[#This Row],[M6+]]-('statistics-M6'!$J70/365)))</f>
        <v/>
      </c>
      <c r="X60" t="str">
        <f>IF(ISBLANK(LSP_All[[#This Row],[M7+]]),"",ABS(LSP_All[[#This Row],[M7+]]-('statistics-M7'!$J70/365)))</f>
        <v/>
      </c>
      <c r="Y60" t="str">
        <f>IF(ISBLANK(LSP_All[[#This Row],[M8+]]),"",ABS(LSP_All[[#This Row],[M8+]]-('statistics-M8'!$J70/365)))</f>
        <v/>
      </c>
    </row>
    <row r="61" spans="1:25" x14ac:dyDescent="0.35">
      <c r="A61" t="s">
        <v>34</v>
      </c>
      <c r="B61">
        <v>2</v>
      </c>
      <c r="C61">
        <v>14.817</v>
      </c>
      <c r="D61">
        <v>26.2</v>
      </c>
      <c r="I61">
        <f>IF(ISBLANK(LSP_All[[#This Row],[M4+]]),"",ABS(LSP_All[[#This Row],[M4+]]-('statistics-M4'!$I71/365)))</f>
        <v>10.721767123287671</v>
      </c>
      <c r="J61">
        <f>IF(ISBLANK(LSP_All[[#This Row],[M5+]]),"",ABS(LSP_All[[#This Row],[M5+]]-('statistics-M5'!$I71/365)))</f>
        <v>18.887084148727983</v>
      </c>
      <c r="K61" t="str">
        <f>IF(ISBLANK(LSP_All[[#This Row],[M6+]]),"",ABS(LSP_All[[#This Row],[M6+]]-('statistics-M6'!$I71/365)))</f>
        <v/>
      </c>
      <c r="L61" t="str">
        <f>IF(ISBLANK(LSP_All[[#This Row],[M7+]]),"",ABS(LSP_All[[#This Row],[M7+]]-('statistics-M7'!$I71/365)))</f>
        <v/>
      </c>
      <c r="M61" t="str">
        <f>IF(ISBLANK(LSP_All[[#This Row],[M8+]]),"",ABS(LSP_All[[#This Row],[M8+]]-('statistics-M8'!$I71/365)))</f>
        <v/>
      </c>
      <c r="O61">
        <f>IF(ISBLANK(LSP_All[[#This Row],[M4+]]),"",ABS(LSP_All[[#This Row],[M4+]]-('statistics-M4'!$F71/365)))</f>
        <v>14.307410958904109</v>
      </c>
      <c r="P61">
        <f>IF(ISBLANK(LSP_All[[#This Row],[M5+]]),"",ABS(LSP_All[[#This Row],[M5+]]-('statistics-M5'!$F71/365)))</f>
        <v>25.504109589041096</v>
      </c>
      <c r="Q61" t="str">
        <f>IF(ISBLANK(LSP_All[[#This Row],[M6+]]),"",ABS(LSP_All[[#This Row],[M6+]]-('statistics-M6'!$F71/365)))</f>
        <v/>
      </c>
      <c r="R61" t="str">
        <f>IF(ISBLANK(LSP_All[[#This Row],[M7+]]),"",ABS(LSP_All[[#This Row],[M7+]]-('statistics-M7'!$F71/365)))</f>
        <v/>
      </c>
      <c r="S61" t="str">
        <f>IF(ISBLANK(LSP_All[[#This Row],[M8+]]),"",ABS(LSP_All[[#This Row],[M8+]]-('statistics-M8'!$F71/365)))</f>
        <v/>
      </c>
      <c r="U61">
        <f>IF(ISBLANK(LSP_All[[#This Row],[M4+]]),"",ABS(LSP_All[[#This Row],[M4+]]-('statistics-M4'!$J71/365)))</f>
        <v>13.310150684931507</v>
      </c>
      <c r="V61">
        <f>IF(ISBLANK(LSP_All[[#This Row],[M5+]]),"",ABS(LSP_All[[#This Row],[M5+]]-('statistics-M5'!$J71/365)))</f>
        <v>22.658904109589042</v>
      </c>
      <c r="W61" t="str">
        <f>IF(ISBLANK(LSP_All[[#This Row],[M6+]]),"",ABS(LSP_All[[#This Row],[M6+]]-('statistics-M6'!$J71/365)))</f>
        <v/>
      </c>
      <c r="X61" t="str">
        <f>IF(ISBLANK(LSP_All[[#This Row],[M7+]]),"",ABS(LSP_All[[#This Row],[M7+]]-('statistics-M7'!$J71/365)))</f>
        <v/>
      </c>
      <c r="Y61" t="str">
        <f>IF(ISBLANK(LSP_All[[#This Row],[M8+]]),"",ABS(LSP_All[[#This Row],[M8+]]-('statistics-M8'!$J71/365)))</f>
        <v/>
      </c>
    </row>
    <row r="62" spans="1:25" x14ac:dyDescent="0.35">
      <c r="A62" t="s">
        <v>34</v>
      </c>
      <c r="B62">
        <v>3</v>
      </c>
      <c r="C62">
        <v>18.236000000000001</v>
      </c>
      <c r="I62">
        <f>IF(ISBLANK(LSP_All[[#This Row],[M4+]]),"",ABS(LSP_All[[#This Row],[M4+]]-('statistics-M4'!$I72/365)))</f>
        <v>13.365288975864319</v>
      </c>
      <c r="J62" t="str">
        <f>IF(ISBLANK(LSP_All[[#This Row],[M5+]]),"",ABS(LSP_All[[#This Row],[M5+]]-('statistics-M5'!$I72/365)))</f>
        <v/>
      </c>
      <c r="K62" t="str">
        <f>IF(ISBLANK(LSP_All[[#This Row],[M6+]]),"",ABS(LSP_All[[#This Row],[M6+]]-('statistics-M6'!$I72/365)))</f>
        <v/>
      </c>
      <c r="L62" t="str">
        <f>IF(ISBLANK(LSP_All[[#This Row],[M7+]]),"",ABS(LSP_All[[#This Row],[M7+]]-('statistics-M7'!$I72/365)))</f>
        <v/>
      </c>
      <c r="M62" t="str">
        <f>IF(ISBLANK(LSP_All[[#This Row],[M8+]]),"",ABS(LSP_All[[#This Row],[M8+]]-('statistics-M8'!$I72/365)))</f>
        <v/>
      </c>
      <c r="O62">
        <f>IF(ISBLANK(LSP_All[[#This Row],[M4+]]),"",ABS(LSP_All[[#This Row],[M4+]]-('statistics-M4'!$F72/365)))</f>
        <v>17.614082191780824</v>
      </c>
      <c r="P62" t="str">
        <f>IF(ISBLANK(LSP_All[[#This Row],[M5+]]),"",ABS(LSP_All[[#This Row],[M5+]]-('statistics-M5'!$F72/365)))</f>
        <v/>
      </c>
      <c r="Q62" t="str">
        <f>IF(ISBLANK(LSP_All[[#This Row],[M6+]]),"",ABS(LSP_All[[#This Row],[M6+]]-('statistics-M6'!$F72/365)))</f>
        <v/>
      </c>
      <c r="R62" t="str">
        <f>IF(ISBLANK(LSP_All[[#This Row],[M7+]]),"",ABS(LSP_All[[#This Row],[M7+]]-('statistics-M7'!$F72/365)))</f>
        <v/>
      </c>
      <c r="S62" t="str">
        <f>IF(ISBLANK(LSP_All[[#This Row],[M8+]]),"",ABS(LSP_All[[#This Row],[M8+]]-('statistics-M8'!$F72/365)))</f>
        <v/>
      </c>
      <c r="U62">
        <f>IF(ISBLANK(LSP_All[[#This Row],[M4+]]),"",ABS(LSP_All[[#This Row],[M4+]]-('statistics-M4'!$J72/365)))</f>
        <v>15.830520547945206</v>
      </c>
      <c r="V62" t="str">
        <f>IF(ISBLANK(LSP_All[[#This Row],[M5+]]),"",ABS(LSP_All[[#This Row],[M5+]]-('statistics-M5'!$J72/365)))</f>
        <v/>
      </c>
      <c r="W62" t="str">
        <f>IF(ISBLANK(LSP_All[[#This Row],[M6+]]),"",ABS(LSP_All[[#This Row],[M6+]]-('statistics-M6'!$J72/365)))</f>
        <v/>
      </c>
      <c r="X62" t="str">
        <f>IF(ISBLANK(LSP_All[[#This Row],[M7+]]),"",ABS(LSP_All[[#This Row],[M7+]]-('statistics-M7'!$J72/365)))</f>
        <v/>
      </c>
      <c r="Y62" t="str">
        <f>IF(ISBLANK(LSP_All[[#This Row],[M8+]]),"",ABS(LSP_All[[#This Row],[M8+]]-('statistics-M8'!$J72/365)))</f>
        <v/>
      </c>
    </row>
    <row r="63" spans="1:25" x14ac:dyDescent="0.35">
      <c r="A63" t="s">
        <v>35</v>
      </c>
      <c r="B63">
        <v>1</v>
      </c>
      <c r="C63">
        <v>2.8620000000000001</v>
      </c>
      <c r="D63">
        <v>4.1509999999999998</v>
      </c>
      <c r="I63">
        <f>IF(ISBLANK(LSP_All[[#This Row],[M4+]]),"",ABS(LSP_All[[#This Row],[M4+]]-('statistics-M4'!$I73/365)))</f>
        <v>1.8082328767123288</v>
      </c>
      <c r="J63">
        <f>IF(ISBLANK(LSP_All[[#This Row],[M5+]]),"",ABS(LSP_All[[#This Row],[M5+]]-('statistics-M5'!$I73/365)))</f>
        <v>2.5980800288392212</v>
      </c>
      <c r="K63" t="str">
        <f>IF(ISBLANK(LSP_All[[#This Row],[M6+]]),"",ABS(LSP_All[[#This Row],[M6+]]-('statistics-M6'!$I73/365)))</f>
        <v/>
      </c>
      <c r="L63" t="str">
        <f>IF(ISBLANK(LSP_All[[#This Row],[M7+]]),"",ABS(LSP_All[[#This Row],[M7+]]-('statistics-M7'!$I73/365)))</f>
        <v/>
      </c>
      <c r="M63" t="str">
        <f>IF(ISBLANK(LSP_All[[#This Row],[M8+]]),"",ABS(LSP_All[[#This Row],[M8+]]-('statistics-M8'!$I73/365)))</f>
        <v/>
      </c>
      <c r="O63">
        <f>IF(ISBLANK(LSP_All[[#This Row],[M4+]]),"",ABS(LSP_All[[#This Row],[M4+]]-('statistics-M4'!$F73/365)))</f>
        <v>2.3606301369863014</v>
      </c>
      <c r="P63">
        <f>IF(ISBLANK(LSP_All[[#This Row],[M5+]]),"",ABS(LSP_All[[#This Row],[M5+]]-('statistics-M5'!$F73/365)))</f>
        <v>3.6523698630136985</v>
      </c>
      <c r="Q63" t="str">
        <f>IF(ISBLANK(LSP_All[[#This Row],[M6+]]),"",ABS(LSP_All[[#This Row],[M6+]]-('statistics-M6'!$F73/365)))</f>
        <v/>
      </c>
      <c r="R63" t="str">
        <f>IF(ISBLANK(LSP_All[[#This Row],[M7+]]),"",ABS(LSP_All[[#This Row],[M7+]]-('statistics-M7'!$F73/365)))</f>
        <v/>
      </c>
      <c r="S63" t="str">
        <f>IF(ISBLANK(LSP_All[[#This Row],[M8+]]),"",ABS(LSP_All[[#This Row],[M8+]]-('statistics-M8'!$F73/365)))</f>
        <v/>
      </c>
      <c r="U63">
        <f>IF(ISBLANK(LSP_All[[#This Row],[M4+]]),"",ABS(LSP_All[[#This Row],[M4+]]-('statistics-M4'!$J73/365)))</f>
        <v>2.0072054794520549</v>
      </c>
      <c r="V63">
        <f>IF(ISBLANK(LSP_All[[#This Row],[M5+]]),"",ABS(LSP_All[[#This Row],[M5+]]-('statistics-M5'!$J73/365)))</f>
        <v>3.0633287671232874</v>
      </c>
      <c r="W63" t="str">
        <f>IF(ISBLANK(LSP_All[[#This Row],[M6+]]),"",ABS(LSP_All[[#This Row],[M6+]]-('statistics-M6'!$J73/365)))</f>
        <v/>
      </c>
      <c r="X63" t="str">
        <f>IF(ISBLANK(LSP_All[[#This Row],[M7+]]),"",ABS(LSP_All[[#This Row],[M7+]]-('statistics-M7'!$J73/365)))</f>
        <v/>
      </c>
      <c r="Y63" t="str">
        <f>IF(ISBLANK(LSP_All[[#This Row],[M8+]]),"",ABS(LSP_All[[#This Row],[M8+]]-('statistics-M8'!$J73/365)))</f>
        <v/>
      </c>
    </row>
    <row r="64" spans="1:25" x14ac:dyDescent="0.35">
      <c r="A64" t="s">
        <v>35</v>
      </c>
      <c r="B64">
        <v>2</v>
      </c>
      <c r="C64">
        <v>10.884</v>
      </c>
      <c r="D64">
        <v>32.616999999999997</v>
      </c>
      <c r="I64">
        <f>IF(ISBLANK(LSP_All[[#This Row],[M4+]]),"",ABS(LSP_All[[#This Row],[M4+]]-('statistics-M4'!$I74/365)))</f>
        <v>8.2170209084354724</v>
      </c>
      <c r="J64">
        <f>IF(ISBLANK(LSP_All[[#This Row],[M5+]]),"",ABS(LSP_All[[#This Row],[M5+]]-('statistics-M5'!$I74/365)))</f>
        <v>28.563191780821914</v>
      </c>
      <c r="K64" t="str">
        <f>IF(ISBLANK(LSP_All[[#This Row],[M6+]]),"",ABS(LSP_All[[#This Row],[M6+]]-('statistics-M6'!$I74/365)))</f>
        <v/>
      </c>
      <c r="L64" t="str">
        <f>IF(ISBLANK(LSP_All[[#This Row],[M7+]]),"",ABS(LSP_All[[#This Row],[M7+]]-('statistics-M7'!$I74/365)))</f>
        <v/>
      </c>
      <c r="M64" t="str">
        <f>IF(ISBLANK(LSP_All[[#This Row],[M8+]]),"",ABS(LSP_All[[#This Row],[M8+]]-('statistics-M8'!$I74/365)))</f>
        <v/>
      </c>
      <c r="O64">
        <f>IF(ISBLANK(LSP_All[[#This Row],[M4+]]),"",ABS(LSP_All[[#This Row],[M4+]]-('statistics-M4'!$F74/365)))</f>
        <v>10.366191780821918</v>
      </c>
      <c r="P64">
        <f>IF(ISBLANK(LSP_All[[#This Row],[M5+]]),"",ABS(LSP_All[[#This Row],[M5+]]-('statistics-M5'!$F74/365)))</f>
        <v>32.085493150684925</v>
      </c>
      <c r="Q64" t="str">
        <f>IF(ISBLANK(LSP_All[[#This Row],[M6+]]),"",ABS(LSP_All[[#This Row],[M6+]]-('statistics-M6'!$F74/365)))</f>
        <v/>
      </c>
      <c r="R64" t="str">
        <f>IF(ISBLANK(LSP_All[[#This Row],[M7+]]),"",ABS(LSP_All[[#This Row],[M7+]]-('statistics-M7'!$F74/365)))</f>
        <v/>
      </c>
      <c r="S64" t="str">
        <f>IF(ISBLANK(LSP_All[[#This Row],[M8+]]),"",ABS(LSP_All[[#This Row],[M8+]]-('statistics-M8'!$F74/365)))</f>
        <v/>
      </c>
      <c r="U64">
        <f>IF(ISBLANK(LSP_All[[#This Row],[M4+]]),"",ABS(LSP_All[[#This Row],[M4+]]-('statistics-M4'!$J74/365)))</f>
        <v>9.7935890410958901</v>
      </c>
      <c r="V64">
        <f>IF(ISBLANK(LSP_All[[#This Row],[M5+]]),"",ABS(LSP_All[[#This Row],[M5+]]-('statistics-M5'!$J74/365)))</f>
        <v>31.293712328767121</v>
      </c>
      <c r="W64" t="str">
        <f>IF(ISBLANK(LSP_All[[#This Row],[M6+]]),"",ABS(LSP_All[[#This Row],[M6+]]-('statistics-M6'!$J74/365)))</f>
        <v/>
      </c>
      <c r="X64" t="str">
        <f>IF(ISBLANK(LSP_All[[#This Row],[M7+]]),"",ABS(LSP_All[[#This Row],[M7+]]-('statistics-M7'!$J74/365)))</f>
        <v/>
      </c>
      <c r="Y64" t="str">
        <f>IF(ISBLANK(LSP_All[[#This Row],[M8+]]),"",ABS(LSP_All[[#This Row],[M8+]]-('statistics-M8'!$J74/365)))</f>
        <v/>
      </c>
    </row>
    <row r="65" spans="1:25" x14ac:dyDescent="0.35">
      <c r="A65" t="s">
        <v>36</v>
      </c>
      <c r="B65">
        <v>1</v>
      </c>
      <c r="C65">
        <v>2.992</v>
      </c>
      <c r="D65">
        <v>14.664999999999999</v>
      </c>
      <c r="I65">
        <f>IF(ISBLANK(LSP_All[[#This Row],[M4+]]),"",ABS(LSP_All[[#This Row],[M4+]]-('statistics-M4'!$I76/365)))</f>
        <v>2.01286406743941</v>
      </c>
      <c r="J65">
        <f>IF(ISBLANK(LSP_All[[#This Row],[M5+]]),"",ABS(LSP_All[[#This Row],[M5+]]-('statistics-M5'!$I76/365)))</f>
        <v>11.542054794520547</v>
      </c>
      <c r="K65" t="str">
        <f>IF(ISBLANK(LSP_All[[#This Row],[M6+]]),"",ABS(LSP_All[[#This Row],[M6+]]-('statistics-M6'!$I76/365)))</f>
        <v/>
      </c>
      <c r="L65" t="str">
        <f>IF(ISBLANK(LSP_All[[#This Row],[M7+]]),"",ABS(LSP_All[[#This Row],[M7+]]-('statistics-M7'!$I76/365)))</f>
        <v/>
      </c>
      <c r="M65" t="str">
        <f>IF(ISBLANK(LSP_All[[#This Row],[M8+]]),"",ABS(LSP_All[[#This Row],[M8+]]-('statistics-M8'!$I76/365)))</f>
        <v/>
      </c>
      <c r="O65">
        <f>IF(ISBLANK(LSP_All[[#This Row],[M4+]]),"",ABS(LSP_All[[#This Row],[M4+]]-('statistics-M4'!$F76/365)))</f>
        <v>2.3646027397260276</v>
      </c>
      <c r="P65">
        <f>IF(ISBLANK(LSP_All[[#This Row],[M5+]]),"",ABS(LSP_All[[#This Row],[M5+]]-('statistics-M5'!$F76/365)))</f>
        <v>13.985547945205479</v>
      </c>
      <c r="Q65" t="str">
        <f>IF(ISBLANK(LSP_All[[#This Row],[M6+]]),"",ABS(LSP_All[[#This Row],[M6+]]-('statistics-M6'!$F76/365)))</f>
        <v/>
      </c>
      <c r="R65" t="str">
        <f>IF(ISBLANK(LSP_All[[#This Row],[M7+]]),"",ABS(LSP_All[[#This Row],[M7+]]-('statistics-M7'!$F76/365)))</f>
        <v/>
      </c>
      <c r="S65" t="str">
        <f>IF(ISBLANK(LSP_All[[#This Row],[M8+]]),"",ABS(LSP_All[[#This Row],[M8+]]-('statistics-M8'!$F76/365)))</f>
        <v/>
      </c>
      <c r="U65">
        <f>IF(ISBLANK(LSP_All[[#This Row],[M4+]]),"",ABS(LSP_All[[#This Row],[M4+]]-('statistics-M4'!$J76/365)))</f>
        <v>2.109808219178082</v>
      </c>
      <c r="V65">
        <f>IF(ISBLANK(LSP_All[[#This Row],[M5+]]),"",ABS(LSP_All[[#This Row],[M5+]]-('statistics-M5'!$J76/365)))</f>
        <v>12.425273972602739</v>
      </c>
      <c r="W65" t="str">
        <f>IF(ISBLANK(LSP_All[[#This Row],[M6+]]),"",ABS(LSP_All[[#This Row],[M6+]]-('statistics-M6'!$J76/365)))</f>
        <v/>
      </c>
      <c r="X65" t="str">
        <f>IF(ISBLANK(LSP_All[[#This Row],[M7+]]),"",ABS(LSP_All[[#This Row],[M7+]]-('statistics-M7'!$J76/365)))</f>
        <v/>
      </c>
      <c r="Y65" t="str">
        <f>IF(ISBLANK(LSP_All[[#This Row],[M8+]]),"",ABS(LSP_All[[#This Row],[M8+]]-('statistics-M8'!$J76/365)))</f>
        <v/>
      </c>
    </row>
    <row r="66" spans="1:25" x14ac:dyDescent="0.35">
      <c r="A66" t="s">
        <v>36</v>
      </c>
      <c r="B66">
        <v>2</v>
      </c>
      <c r="C66">
        <v>4.673</v>
      </c>
      <c r="D66">
        <v>5.1520000000000001</v>
      </c>
      <c r="I66">
        <f>IF(ISBLANK(LSP_All[[#This Row],[M4+]]),"",ABS(LSP_All[[#This Row],[M4+]]-('statistics-M4'!$I77/365)))</f>
        <v>3.6654130663856694</v>
      </c>
      <c r="J66">
        <f>IF(ISBLANK(LSP_All[[#This Row],[M5+]]),"",ABS(LSP_All[[#This Row],[M5+]]-('statistics-M5'!$I77/365)))</f>
        <v>3.8294148226203024</v>
      </c>
      <c r="K66" t="str">
        <f>IF(ISBLANK(LSP_All[[#This Row],[M6+]]),"",ABS(LSP_All[[#This Row],[M6+]]-('statistics-M6'!$I77/365)))</f>
        <v/>
      </c>
      <c r="L66" t="str">
        <f>IF(ISBLANK(LSP_All[[#This Row],[M7+]]),"",ABS(LSP_All[[#This Row],[M7+]]-('statistics-M7'!$I77/365)))</f>
        <v/>
      </c>
      <c r="M66" t="str">
        <f>IF(ISBLANK(LSP_All[[#This Row],[M8+]]),"",ABS(LSP_All[[#This Row],[M8+]]-('statistics-M8'!$I77/365)))</f>
        <v/>
      </c>
      <c r="O66">
        <f>IF(ISBLANK(LSP_All[[#This Row],[M4+]]),"",ABS(LSP_All[[#This Row],[M4+]]-('statistics-M4'!$F77/365)))</f>
        <v>4.0784794520547942</v>
      </c>
      <c r="P66">
        <f>IF(ISBLANK(LSP_All[[#This Row],[M5+]]),"",ABS(LSP_All[[#This Row],[M5+]]-('statistics-M5'!$F77/365)))</f>
        <v>4.4643287671232876</v>
      </c>
      <c r="Q66" t="str">
        <f>IF(ISBLANK(LSP_All[[#This Row],[M6+]]),"",ABS(LSP_All[[#This Row],[M6+]]-('statistics-M6'!$F77/365)))</f>
        <v/>
      </c>
      <c r="R66" t="str">
        <f>IF(ISBLANK(LSP_All[[#This Row],[M7+]]),"",ABS(LSP_All[[#This Row],[M7+]]-('statistics-M7'!$F77/365)))</f>
        <v/>
      </c>
      <c r="S66" t="str">
        <f>IF(ISBLANK(LSP_All[[#This Row],[M8+]]),"",ABS(LSP_All[[#This Row],[M8+]]-('statistics-M8'!$F77/365)))</f>
        <v/>
      </c>
      <c r="U66">
        <f>IF(ISBLANK(LSP_All[[#This Row],[M4+]]),"",ABS(LSP_All[[#This Row],[M4+]]-('statistics-M4'!$J77/365)))</f>
        <v>3.8551917808219178</v>
      </c>
      <c r="V66">
        <f>IF(ISBLANK(LSP_All[[#This Row],[M5+]]),"",ABS(LSP_All[[#This Row],[M5+]]-('statistics-M5'!$J77/365)))</f>
        <v>4.1520000000000001</v>
      </c>
      <c r="W66" t="str">
        <f>IF(ISBLANK(LSP_All[[#This Row],[M6+]]),"",ABS(LSP_All[[#This Row],[M6+]]-('statistics-M6'!$J77/365)))</f>
        <v/>
      </c>
      <c r="X66" t="str">
        <f>IF(ISBLANK(LSP_All[[#This Row],[M7+]]),"",ABS(LSP_All[[#This Row],[M7+]]-('statistics-M7'!$J77/365)))</f>
        <v/>
      </c>
      <c r="Y66" t="str">
        <f>IF(ISBLANK(LSP_All[[#This Row],[M8+]]),"",ABS(LSP_All[[#This Row],[M8+]]-('statistics-M8'!$J77/365)))</f>
        <v/>
      </c>
    </row>
    <row r="67" spans="1:25" x14ac:dyDescent="0.35">
      <c r="A67" t="s">
        <v>36</v>
      </c>
      <c r="B67">
        <v>3</v>
      </c>
      <c r="C67">
        <v>3.3420000000000001</v>
      </c>
      <c r="D67">
        <v>5.8230000000000004</v>
      </c>
      <c r="I67">
        <f>IF(ISBLANK(LSP_All[[#This Row],[M4+]]),"",ABS(LSP_All[[#This Row],[M4+]]-('statistics-M4'!$I78/365)))</f>
        <v>1.9952083633741891</v>
      </c>
      <c r="J67">
        <f>IF(ISBLANK(LSP_All[[#This Row],[M5+]]),"",ABS(LSP_All[[#This Row],[M5+]]-('statistics-M5'!$I78/365)))</f>
        <v>3.7291021170610215</v>
      </c>
      <c r="K67" t="str">
        <f>IF(ISBLANK(LSP_All[[#This Row],[M6+]]),"",ABS(LSP_All[[#This Row],[M6+]]-('statistics-M6'!$I78/365)))</f>
        <v/>
      </c>
      <c r="L67" t="str">
        <f>IF(ISBLANK(LSP_All[[#This Row],[M7+]]),"",ABS(LSP_All[[#This Row],[M7+]]-('statistics-M7'!$I78/365)))</f>
        <v/>
      </c>
      <c r="M67" t="str">
        <f>IF(ISBLANK(LSP_All[[#This Row],[M8+]]),"",ABS(LSP_All[[#This Row],[M8+]]-('statistics-M8'!$I78/365)))</f>
        <v/>
      </c>
      <c r="O67">
        <f>IF(ISBLANK(LSP_All[[#This Row],[M4+]]),"",ABS(LSP_All[[#This Row],[M4+]]-('statistics-M4'!$F78/365)))</f>
        <v>2.3556986301369864</v>
      </c>
      <c r="P67">
        <f>IF(ISBLANK(LSP_All[[#This Row],[M5+]]),"",ABS(LSP_All[[#This Row],[M5+]]-('statistics-M5'!$F78/365)))</f>
        <v>5.327109589041096</v>
      </c>
      <c r="Q67" t="str">
        <f>IF(ISBLANK(LSP_All[[#This Row],[M6+]]),"",ABS(LSP_All[[#This Row],[M6+]]-('statistics-M6'!$F78/365)))</f>
        <v/>
      </c>
      <c r="R67" t="str">
        <f>IF(ISBLANK(LSP_All[[#This Row],[M7+]]),"",ABS(LSP_All[[#This Row],[M7+]]-('statistics-M7'!$F78/365)))</f>
        <v/>
      </c>
      <c r="S67" t="str">
        <f>IF(ISBLANK(LSP_All[[#This Row],[M8+]]),"",ABS(LSP_All[[#This Row],[M8+]]-('statistics-M8'!$F78/365)))</f>
        <v/>
      </c>
      <c r="U67">
        <f>IF(ISBLANK(LSP_All[[#This Row],[M4+]]),"",ABS(LSP_All[[#This Row],[M4+]]-('statistics-M4'!$J78/365)))</f>
        <v>2.3474794520547944</v>
      </c>
      <c r="V67">
        <f>IF(ISBLANK(LSP_All[[#This Row],[M5+]]),"",ABS(LSP_All[[#This Row],[M5+]]-('statistics-M5'!$J78/365)))</f>
        <v>4.2490273972602743</v>
      </c>
      <c r="W67" t="str">
        <f>IF(ISBLANK(LSP_All[[#This Row],[M6+]]),"",ABS(LSP_All[[#This Row],[M6+]]-('statistics-M6'!$J78/365)))</f>
        <v/>
      </c>
      <c r="X67" t="str">
        <f>IF(ISBLANK(LSP_All[[#This Row],[M7+]]),"",ABS(LSP_All[[#This Row],[M7+]]-('statistics-M7'!$J78/365)))</f>
        <v/>
      </c>
      <c r="Y67" t="str">
        <f>IF(ISBLANK(LSP_All[[#This Row],[M8+]]),"",ABS(LSP_All[[#This Row],[M8+]]-('statistics-M8'!$J78/365)))</f>
        <v/>
      </c>
    </row>
    <row r="68" spans="1:25" x14ac:dyDescent="0.35">
      <c r="A68" t="s">
        <v>37</v>
      </c>
      <c r="B68">
        <v>1</v>
      </c>
      <c r="C68">
        <v>6.64</v>
      </c>
      <c r="D68">
        <v>6.5979999999999999</v>
      </c>
      <c r="I68">
        <f>IF(ISBLANK(LSP_All[[#This Row],[M4+]]),"",ABS(LSP_All[[#This Row],[M4+]]-('statistics-M4'!$I79/365)))</f>
        <v>4.820966113914924</v>
      </c>
      <c r="J68">
        <f>IF(ISBLANK(LSP_All[[#This Row],[M5+]]),"",ABS(LSP_All[[#This Row],[M5+]]-('statistics-M5'!$I79/365)))</f>
        <v>4.6040590094836666</v>
      </c>
      <c r="K68" t="str">
        <f>IF(ISBLANK(LSP_All[[#This Row],[M6+]]),"",ABS(LSP_All[[#This Row],[M6+]]-('statistics-M6'!$I79/365)))</f>
        <v/>
      </c>
      <c r="L68" t="str">
        <f>IF(ISBLANK(LSP_All[[#This Row],[M7+]]),"",ABS(LSP_All[[#This Row],[M7+]]-('statistics-M7'!$I79/365)))</f>
        <v/>
      </c>
      <c r="M68" t="str">
        <f>IF(ISBLANK(LSP_All[[#This Row],[M8+]]),"",ABS(LSP_All[[#This Row],[M8+]]-('statistics-M8'!$I79/365)))</f>
        <v/>
      </c>
      <c r="O68">
        <f>IF(ISBLANK(LSP_All[[#This Row],[M4+]]),"",ABS(LSP_All[[#This Row],[M4+]]-('statistics-M4'!$F79/365)))</f>
        <v>6.1304109589041094</v>
      </c>
      <c r="P68">
        <f>IF(ISBLANK(LSP_All[[#This Row],[M5+]]),"",ABS(LSP_All[[#This Row],[M5+]]-('statistics-M5'!$F79/365)))</f>
        <v>6.0884109589041095</v>
      </c>
      <c r="Q68" t="str">
        <f>IF(ISBLANK(LSP_All[[#This Row],[M6+]]),"",ABS(LSP_All[[#This Row],[M6+]]-('statistics-M6'!$F79/365)))</f>
        <v/>
      </c>
      <c r="R68" t="str">
        <f>IF(ISBLANK(LSP_All[[#This Row],[M7+]]),"",ABS(LSP_All[[#This Row],[M7+]]-('statistics-M7'!$F79/365)))</f>
        <v/>
      </c>
      <c r="S68" t="str">
        <f>IF(ISBLANK(LSP_All[[#This Row],[M8+]]),"",ABS(LSP_All[[#This Row],[M8+]]-('statistics-M8'!$F79/365)))</f>
        <v/>
      </c>
      <c r="U68">
        <f>IF(ISBLANK(LSP_All[[#This Row],[M4+]]),"",ABS(LSP_All[[#This Row],[M4+]]-('statistics-M4'!$J79/365)))</f>
        <v>5.6673972602739724</v>
      </c>
      <c r="V68">
        <f>IF(ISBLANK(LSP_All[[#This Row],[M5+]]),"",ABS(LSP_All[[#This Row],[M5+]]-('statistics-M5'!$J79/365)))</f>
        <v>5.6459452054794514</v>
      </c>
      <c r="W68" t="str">
        <f>IF(ISBLANK(LSP_All[[#This Row],[M6+]]),"",ABS(LSP_All[[#This Row],[M6+]]-('statistics-M6'!$J79/365)))</f>
        <v/>
      </c>
      <c r="X68" t="str">
        <f>IF(ISBLANK(LSP_All[[#This Row],[M7+]]),"",ABS(LSP_All[[#This Row],[M7+]]-('statistics-M7'!$J79/365)))</f>
        <v/>
      </c>
      <c r="Y68" t="str">
        <f>IF(ISBLANK(LSP_All[[#This Row],[M8+]]),"",ABS(LSP_All[[#This Row],[M8+]]-('statistics-M8'!$J79/365)))</f>
        <v/>
      </c>
    </row>
    <row r="69" spans="1:25" x14ac:dyDescent="0.35">
      <c r="A69" t="s">
        <v>37</v>
      </c>
      <c r="B69">
        <v>2</v>
      </c>
      <c r="C69">
        <v>7.8920000000000003</v>
      </c>
      <c r="D69">
        <v>15.077</v>
      </c>
      <c r="I69">
        <f>IF(ISBLANK(LSP_All[[#This Row],[M4+]]),"",ABS(LSP_All[[#This Row],[M4+]]-('statistics-M4'!$I80/365)))</f>
        <v>3.6109497716894987</v>
      </c>
      <c r="J69">
        <f>IF(ISBLANK(LSP_All[[#This Row],[M5+]]),"",ABS(LSP_All[[#This Row],[M5+]]-('statistics-M5'!$I80/365)))</f>
        <v>10.406763387297634</v>
      </c>
      <c r="K69" t="str">
        <f>IF(ISBLANK(LSP_All[[#This Row],[M6+]]),"",ABS(LSP_All[[#This Row],[M6+]]-('statistics-M6'!$I80/365)))</f>
        <v/>
      </c>
      <c r="L69" t="str">
        <f>IF(ISBLANK(LSP_All[[#This Row],[M7+]]),"",ABS(LSP_All[[#This Row],[M7+]]-('statistics-M7'!$I80/365)))</f>
        <v/>
      </c>
      <c r="M69" t="str">
        <f>IF(ISBLANK(LSP_All[[#This Row],[M8+]]),"",ABS(LSP_All[[#This Row],[M8+]]-('statistics-M8'!$I80/365)))</f>
        <v/>
      </c>
      <c r="O69">
        <f>IF(ISBLANK(LSP_All[[#This Row],[M4+]]),"",ABS(LSP_All[[#This Row],[M4+]]-('statistics-M4'!$F80/365)))</f>
        <v>7.0892602739726032</v>
      </c>
      <c r="P69">
        <f>IF(ISBLANK(LSP_All[[#This Row],[M5+]]),"",ABS(LSP_All[[#This Row],[M5+]]-('statistics-M5'!$F80/365)))</f>
        <v>14.274260273972603</v>
      </c>
      <c r="Q69" t="str">
        <f>IF(ISBLANK(LSP_All[[#This Row],[M6+]]),"",ABS(LSP_All[[#This Row],[M6+]]-('statistics-M6'!$F80/365)))</f>
        <v/>
      </c>
      <c r="R69" t="str">
        <f>IF(ISBLANK(LSP_All[[#This Row],[M7+]]),"",ABS(LSP_All[[#This Row],[M7+]]-('statistics-M7'!$F80/365)))</f>
        <v/>
      </c>
      <c r="S69" t="str">
        <f>IF(ISBLANK(LSP_All[[#This Row],[M8+]]),"",ABS(LSP_All[[#This Row],[M8+]]-('statistics-M8'!$F80/365)))</f>
        <v/>
      </c>
      <c r="U69">
        <f>IF(ISBLANK(LSP_All[[#This Row],[M4+]]),"",ABS(LSP_All[[#This Row],[M4+]]-('statistics-M4'!$J80/365)))</f>
        <v>4.0563835616438357</v>
      </c>
      <c r="V69">
        <f>IF(ISBLANK(LSP_All[[#This Row],[M5+]]),"",ABS(LSP_All[[#This Row],[M5+]]-('statistics-M5'!$J80/365)))</f>
        <v>10.466041095890411</v>
      </c>
      <c r="W69" t="str">
        <f>IF(ISBLANK(LSP_All[[#This Row],[M6+]]),"",ABS(LSP_All[[#This Row],[M6+]]-('statistics-M6'!$J80/365)))</f>
        <v/>
      </c>
      <c r="X69" t="str">
        <f>IF(ISBLANK(LSP_All[[#This Row],[M7+]]),"",ABS(LSP_All[[#This Row],[M7+]]-('statistics-M7'!$J80/365)))</f>
        <v/>
      </c>
      <c r="Y69" t="str">
        <f>IF(ISBLANK(LSP_All[[#This Row],[M8+]]),"",ABS(LSP_All[[#This Row],[M8+]]-('statistics-M8'!$J80/365)))</f>
        <v/>
      </c>
    </row>
    <row r="70" spans="1:25" x14ac:dyDescent="0.35">
      <c r="H70" t="s">
        <v>33</v>
      </c>
      <c r="I70" s="2">
        <f>ROUND(AVERAGE(I2:I69),3)</f>
        <v>8.9320000000000004</v>
      </c>
      <c r="J70" s="2">
        <f>ROUND(AVERAGE(J2:J69),3)</f>
        <v>8.157</v>
      </c>
      <c r="K70" s="2">
        <f>ROUND(AVERAGE(K2:K69),3)</f>
        <v>12.746</v>
      </c>
      <c r="L70" s="2">
        <f>ROUND(AVERAGE(L2:L69),3)</f>
        <v>10.494</v>
      </c>
      <c r="M70" s="2">
        <f>ROUND(AVERAGE(M2:M69),3)</f>
        <v>18.789000000000001</v>
      </c>
      <c r="O70" s="2">
        <f>ROUND(AVERAGE(O2:O69),3)</f>
        <v>10.093999999999999</v>
      </c>
      <c r="P70" s="2">
        <f>ROUND(AVERAGE(P2:P69),3)</f>
        <v>9.4789999999999992</v>
      </c>
      <c r="Q70" s="2">
        <f>ROUND(AVERAGE(Q2:Q69),3)</f>
        <v>15.034000000000001</v>
      </c>
      <c r="R70" s="2">
        <f>ROUND(AVERAGE(R2:R69),3)</f>
        <v>13.289</v>
      </c>
      <c r="S70" s="2">
        <f>ROUND(AVERAGE(S2:S69),3)</f>
        <v>28.501999999999999</v>
      </c>
      <c r="U70" s="2">
        <f>ROUND(AVERAGE(U2:U69),3)</f>
        <v>9.6609999999999996</v>
      </c>
      <c r="V70" s="2">
        <f>ROUND(AVERAGE(V2:V69),3)</f>
        <v>8.8350000000000009</v>
      </c>
      <c r="W70" s="2">
        <f>ROUND(AVERAGE(W2:W69),3)</f>
        <v>13.625</v>
      </c>
      <c r="X70" s="2">
        <f>ROUND(AVERAGE(X2:X69),3)</f>
        <v>11.315</v>
      </c>
      <c r="Y70" s="2">
        <f>ROUND(AVERAGE(Y2:Y69),3)</f>
        <v>20.445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2918E-4E54-4905-9265-4B9EE6C29B45}">
  <dimension ref="A1:Y70"/>
  <sheetViews>
    <sheetView workbookViewId="0">
      <selection activeCell="Y71" sqref="Y71"/>
    </sheetView>
  </sheetViews>
  <sheetFormatPr defaultRowHeight="14.5" x14ac:dyDescent="0.35"/>
  <cols>
    <col min="1" max="1" width="16.6328125" bestFit="1" customWidth="1"/>
    <col min="2" max="2" width="11.26953125" bestFit="1" customWidth="1"/>
    <col min="3" max="7" width="6.81640625" bestFit="1" customWidth="1"/>
    <col min="9" max="9" width="13.7265625" bestFit="1" customWidth="1"/>
    <col min="10" max="13" width="10.36328125" bestFit="1" customWidth="1"/>
    <col min="15" max="19" width="10.36328125" bestFit="1" customWidth="1"/>
    <col min="21" max="25" width="10.36328125" bestFit="1" customWidth="1"/>
  </cols>
  <sheetData>
    <row r="1" spans="1:25" x14ac:dyDescent="0.35">
      <c r="A1" t="s">
        <v>0</v>
      </c>
      <c r="B1" t="s">
        <v>1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  <c r="H1" t="s">
        <v>99</v>
      </c>
      <c r="I1" t="s">
        <v>67</v>
      </c>
      <c r="J1" t="s">
        <v>69</v>
      </c>
      <c r="K1" t="s">
        <v>70</v>
      </c>
      <c r="L1" t="s">
        <v>71</v>
      </c>
      <c r="M1" t="s">
        <v>68</v>
      </c>
      <c r="O1" t="s">
        <v>72</v>
      </c>
      <c r="P1" t="s">
        <v>73</v>
      </c>
      <c r="Q1" t="s">
        <v>74</v>
      </c>
      <c r="R1" t="s">
        <v>75</v>
      </c>
      <c r="S1" t="s">
        <v>76</v>
      </c>
      <c r="U1" t="s">
        <v>77</v>
      </c>
      <c r="V1" t="s">
        <v>78</v>
      </c>
      <c r="W1" t="s">
        <v>79</v>
      </c>
      <c r="X1" t="s">
        <v>80</v>
      </c>
      <c r="Y1" t="s">
        <v>81</v>
      </c>
    </row>
    <row r="2" spans="1:25" x14ac:dyDescent="0.35">
      <c r="A2" t="s">
        <v>9</v>
      </c>
      <c r="B2">
        <v>1</v>
      </c>
      <c r="C2">
        <v>1.8029999999999999</v>
      </c>
      <c r="D2">
        <v>1.8029999999999999</v>
      </c>
      <c r="E2">
        <v>1.9470000000000001</v>
      </c>
      <c r="F2">
        <v>8.9719999999999995</v>
      </c>
      <c r="G2" t="s">
        <v>57</v>
      </c>
      <c r="H2" t="e">
        <f>VALUE(NFFT_All[[#This Row],[M8+]])</f>
        <v>#VALUE!</v>
      </c>
      <c r="I2">
        <f>IF(ISBLANK(NFFT_All[[#This Row],[M4+]]),"",ABS(NFFT_All[[#This Row],[M4+]]-(statistics_M4[[#This Row],[mean_gap]]/365)))</f>
        <v>0.92015681578695274</v>
      </c>
      <c r="J2">
        <f>IF(ISBLANK(NFFT_All[[#This Row],[M5+]]),"",ABS(NFFT_All[[#This Row],[M5+]]-(statistics_M5[[#This Row],[mean_gap]]/365)))</f>
        <v>0.92015681578695274</v>
      </c>
      <c r="K2">
        <f>IF(ISBLANK(NFFT_All[[#This Row],[M6+]]),"",ABS(NFFT_All[[#This Row],[M6+]]-(statistics_M6[[#This Row],[mean_gap]]/365)))</f>
        <v>1.0494070450097848</v>
      </c>
      <c r="L2">
        <f>IF(ISBLANK(NFFT_All[[#This Row],[M7+]]),"",ABS(NFFT_All[[#This Row],[M7+]]-(statistics_M7[[#This Row],[mean_gap]]/365)))</f>
        <v>7.1768140900195689</v>
      </c>
      <c r="M2" t="e">
        <f>IF(ISBLANK(NFFT_All[[#This Row],[M8+]]),"",ABS(NFFT_All[[#This Row],[M8+]]-(statistics_M8[[#This Row],[mean_gap]]/365)))</f>
        <v>#VALUE!</v>
      </c>
      <c r="O2">
        <f>IF(ISBLANK(NFFT_All[[#This Row],[M4+]]),"",ABS(NFFT_All[[#This Row],[M4+]]-(statistics_M4[[#This Row],[exact_mode]]/365)))</f>
        <v>1.2714931506849314</v>
      </c>
      <c r="P2">
        <f>IF(ISBLANK(NFFT_All[[#This Row],[M5+]]),"",ABS(NFFT_All[[#This Row],[M5+]]-(statistics_M5[[#This Row],[exact_mode]]/365)))</f>
        <v>1.2714931506849314</v>
      </c>
      <c r="Q2">
        <f>IF(ISBLANK(NFFT_All[[#This Row],[M6+]]),"",ABS(NFFT_All[[#This Row],[M6+]]-(statistics_M6[[#This Row],[exact_mode]]/365)))</f>
        <v>1.4154931506849315</v>
      </c>
      <c r="R2">
        <f>IF(ISBLANK(NFFT_All[[#This Row],[M7+]]),"",ABS(NFFT_All[[#This Row],[M7+]]-(statistics_M7[[#This Row],[exact_mode]]/365)))</f>
        <v>8.437753424657533</v>
      </c>
      <c r="S2" t="e">
        <f>IF(ISBLANK(NFFT_All[[#This Row],[M8+]]),"",ABS(NFFT_All[[#This Row],[M8+]]-(statistics_M8[[#This Row],[exact_mode]]/365)))</f>
        <v>#VALUE!</v>
      </c>
      <c r="U2">
        <f>IF(ISBLANK(NFFT_All[[#This Row],[M4+]]),"",ABS(NFFT_All[[#This Row],[M4+]]-(statistics_M4[[#This Row],[median_gap]]/365)))</f>
        <v>0.9920410958904109</v>
      </c>
      <c r="V2">
        <f>IF(ISBLANK(NFFT_All[[#This Row],[M5+]]),"",ABS(NFFT_All[[#This Row],[M5+]]-(statistics_M5[[#This Row],[median_gap]]/365)))</f>
        <v>0.9920410958904109</v>
      </c>
      <c r="W2">
        <f>IF(ISBLANK(NFFT_All[[#This Row],[M6+]]),"",ABS(NFFT_All[[#This Row],[M6+]]-(statistics_M6[[#This Row],[median_gap]]/365)))</f>
        <v>1.1223424657534247</v>
      </c>
      <c r="X2">
        <f>IF(ISBLANK(NFFT_All[[#This Row],[M7+]]),"",ABS(NFFT_All[[#This Row],[M7+]]-(statistics_M7[[#This Row],[median_gap]]/365)))</f>
        <v>7.6733698630136979</v>
      </c>
      <c r="Y2" t="e">
        <f>IF(ISBLANK(NFFT_All[[#This Row],[M8+]]),"",ABS(NFFT_All[[#This Row],[M8+]]-(statistics_M8[[#This Row],[median_gap]]/365)))</f>
        <v>#VALUE!</v>
      </c>
    </row>
    <row r="3" spans="1:25" x14ac:dyDescent="0.35">
      <c r="A3" t="s">
        <v>9</v>
      </c>
      <c r="B3">
        <v>2</v>
      </c>
      <c r="C3">
        <v>4.5469999999999997</v>
      </c>
      <c r="D3">
        <v>4.5469999999999997</v>
      </c>
      <c r="E3">
        <v>8.9320000000000004</v>
      </c>
      <c r="F3">
        <v>22.390999999999998</v>
      </c>
      <c r="G3" t="s">
        <v>57</v>
      </c>
      <c r="H3" t="e">
        <f>VALUE(NFFT_All[[#This Row],[M8+]])</f>
        <v>#VALUE!</v>
      </c>
      <c r="I3">
        <f>IF(ISBLANK(NFFT_All[[#This Row],[M4+]]),"",ABS(NFFT_All[[#This Row],[M4+]]-(statistics_M4[[#This Row],[mean_gap]]/365)))</f>
        <v>3.5771582244876283</v>
      </c>
      <c r="J3">
        <f>IF(ISBLANK(NFFT_All[[#This Row],[M5+]]),"",ABS(NFFT_All[[#This Row],[M5+]]-(statistics_M5[[#This Row],[mean_gap]]/365)))</f>
        <v>3.5771582244876283</v>
      </c>
      <c r="K3">
        <f>IF(ISBLANK(NFFT_All[[#This Row],[M6+]]),"",ABS(NFFT_All[[#This Row],[M6+]]-(statistics_M6[[#This Row],[mean_gap]]/365)))</f>
        <v>7.8345474645517905</v>
      </c>
      <c r="L3">
        <f>IF(ISBLANK(NFFT_All[[#This Row],[M7+]]),"",ABS(NFFT_All[[#This Row],[M7+]]-(statistics_M7[[#This Row],[mean_gap]]/365)))</f>
        <v>16.79062640099626</v>
      </c>
      <c r="M3" t="e">
        <f>IF(ISBLANK(NFFT_All[[#This Row],[M8+]]),"",ABS(NFFT_All[[#This Row],[M8+]]-(statistics_M8[[#This Row],[mean_gap]]/365)))</f>
        <v>#VALUE!</v>
      </c>
      <c r="O3">
        <f>IF(ISBLANK(NFFT_All[[#This Row],[M4+]]),"",ABS(NFFT_All[[#This Row],[M4+]]-(statistics_M4[[#This Row],[exact_mode]]/365)))</f>
        <v>4.004534246575342</v>
      </c>
      <c r="P3">
        <f>IF(ISBLANK(NFFT_All[[#This Row],[M5+]]),"",ABS(NFFT_All[[#This Row],[M5+]]-(statistics_M5[[#This Row],[exact_mode]]/365)))</f>
        <v>4.004534246575342</v>
      </c>
      <c r="Q3">
        <f>IF(ISBLANK(NFFT_All[[#This Row],[M6+]]),"",ABS(NFFT_All[[#This Row],[M6+]]-(statistics_M6[[#This Row],[exact_mode]]/365)))</f>
        <v>8.3895342465753426</v>
      </c>
      <c r="R3">
        <f>IF(ISBLANK(NFFT_All[[#This Row],[M7+]]),"",ABS(NFFT_All[[#This Row],[M7+]]-(statistics_M7[[#This Row],[exact_mode]]/365)))</f>
        <v>21.884150684931505</v>
      </c>
      <c r="S3" t="e">
        <f>IF(ISBLANK(NFFT_All[[#This Row],[M8+]]),"",ABS(NFFT_All[[#This Row],[M8+]]-(statistics_M8[[#This Row],[exact_mode]]/365)))</f>
        <v>#VALUE!</v>
      </c>
      <c r="U3">
        <f>IF(ISBLANK(NFFT_All[[#This Row],[M4+]]),"",ABS(NFFT_All[[#This Row],[M4+]]-(statistics_M4[[#This Row],[median_gap]]/365)))</f>
        <v>3.7196027397260272</v>
      </c>
      <c r="V3">
        <f>IF(ISBLANK(NFFT_All[[#This Row],[M5+]]),"",ABS(NFFT_All[[#This Row],[M5+]]-(statistics_M5[[#This Row],[median_gap]]/365)))</f>
        <v>3.7196027397260272</v>
      </c>
      <c r="W3">
        <f>IF(ISBLANK(NFFT_All[[#This Row],[M6+]]),"",ABS(NFFT_All[[#This Row],[M6+]]-(statistics_M6[[#This Row],[median_gap]]/365)))</f>
        <v>7.9374794520547951</v>
      </c>
      <c r="X3">
        <f>IF(ISBLANK(NFFT_All[[#This Row],[M7+]]),"",ABS(NFFT_All[[#This Row],[M7+]]-(statistics_M7[[#This Row],[median_gap]]/365)))</f>
        <v>19.084150684931505</v>
      </c>
      <c r="Y3" t="e">
        <f>IF(ISBLANK(NFFT_All[[#This Row],[M8+]]),"",ABS(NFFT_All[[#This Row],[M8+]]-(statistics_M8[[#This Row],[median_gap]]/365)))</f>
        <v>#VALUE!</v>
      </c>
    </row>
    <row r="4" spans="1:25" x14ac:dyDescent="0.35">
      <c r="A4" t="s">
        <v>9</v>
      </c>
      <c r="B4">
        <v>3</v>
      </c>
      <c r="C4">
        <v>5.7619999999999996</v>
      </c>
      <c r="D4">
        <v>27.161999999999999</v>
      </c>
      <c r="G4" t="s">
        <v>58</v>
      </c>
      <c r="H4" t="e">
        <f>VALUE(NFFT_All[[#This Row],[M8+]])</f>
        <v>#VALUE!</v>
      </c>
      <c r="I4">
        <f>IF(ISBLANK(NFFT_All[[#This Row],[M4+]]),"",ABS(NFFT_All[[#This Row],[M4+]]-(statistics_M4[[#This Row],[mean_gap]]/365)))</f>
        <v>2.2393211567732112</v>
      </c>
      <c r="J4">
        <f>IF(ISBLANK(NFFT_All[[#This Row],[M5+]]),"",ABS(NFFT_All[[#This Row],[M5+]]-(statistics_M5[[#This Row],[mean_gap]]/365)))</f>
        <v>20.821178082191778</v>
      </c>
      <c r="K4" t="str">
        <f>IF(ISBLANK(NFFT_All[[#This Row],[M6+]]),"",ABS(NFFT_All[[#This Row],[M6+]]-(statistics_M6[[#This Row],[mean_gap]]/365)))</f>
        <v/>
      </c>
      <c r="L4" t="str">
        <f>IF(ISBLANK(NFFT_All[[#This Row],[M7+]]),"",ABS(NFFT_All[[#This Row],[M7+]]-(statistics_M7[[#This Row],[mean_gap]]/365)))</f>
        <v/>
      </c>
      <c r="M4" t="e">
        <f>IF(ISBLANK(NFFT_All[[#This Row],[M8+]]),"",ABS(NFFT_All[[#This Row],[M8+]]-(statistics_M8[[#This Row],[mean_gap]]/365)))</f>
        <v>#VALUE!</v>
      </c>
      <c r="O4">
        <f>IF(ISBLANK(NFFT_All[[#This Row],[M4+]]),"",ABS(NFFT_All[[#This Row],[M4+]]-(statistics_M4[[#This Row],[exact_mode]]/365)))</f>
        <v>5.2414520547945198</v>
      </c>
      <c r="P4">
        <f>IF(ISBLANK(NFFT_All[[#This Row],[M5+]]),"",ABS(NFFT_All[[#This Row],[M5+]]-(statistics_M5[[#This Row],[exact_mode]]/365)))</f>
        <v>26.64145205479452</v>
      </c>
      <c r="Q4" t="str">
        <f>IF(ISBLANK(NFFT_All[[#This Row],[M6+]]),"",ABS(NFFT_All[[#This Row],[M6+]]-(statistics_M6[[#This Row],[exact_mode]]/365)))</f>
        <v/>
      </c>
      <c r="R4" t="str">
        <f>IF(ISBLANK(NFFT_All[[#This Row],[M7+]]),"",ABS(NFFT_All[[#This Row],[M7+]]-(statistics_M7[[#This Row],[exact_mode]]/365)))</f>
        <v/>
      </c>
      <c r="S4" t="e">
        <f>IF(ISBLANK(NFFT_All[[#This Row],[M8+]]),"",ABS(NFFT_All[[#This Row],[M8+]]-(statistics_M8[[#This Row],[exact_mode]]/365)))</f>
        <v>#VALUE!</v>
      </c>
      <c r="U4">
        <f>IF(ISBLANK(NFFT_All[[#This Row],[M4+]]),"",ABS(NFFT_All[[#This Row],[M4+]]-(statistics_M4[[#This Row],[median_gap]]/365)))</f>
        <v>4.4606301369863006</v>
      </c>
      <c r="V4">
        <f>IF(ISBLANK(NFFT_All[[#This Row],[M5+]]),"",ABS(NFFT_All[[#This Row],[M5+]]-(statistics_M5[[#This Row],[median_gap]]/365)))</f>
        <v>22.241452054794522</v>
      </c>
      <c r="W4" t="str">
        <f>IF(ISBLANK(NFFT_All[[#This Row],[M6+]]),"",ABS(NFFT_All[[#This Row],[M6+]]-(statistics_M6[[#This Row],[median_gap]]/365)))</f>
        <v/>
      </c>
      <c r="X4" t="str">
        <f>IF(ISBLANK(NFFT_All[[#This Row],[M7+]]),"",ABS(NFFT_All[[#This Row],[M7+]]-(statistics_M7[[#This Row],[median_gap]]/365)))</f>
        <v/>
      </c>
      <c r="Y4" t="e">
        <f>IF(ISBLANK(NFFT_All[[#This Row],[M8+]]),"",ABS(NFFT_All[[#This Row],[M8+]]-(statistics_M8[[#This Row],[median_gap]]/365)))</f>
        <v>#VALUE!</v>
      </c>
    </row>
    <row r="5" spans="1:25" x14ac:dyDescent="0.35">
      <c r="A5" t="s">
        <v>10</v>
      </c>
      <c r="B5">
        <v>1</v>
      </c>
      <c r="C5">
        <v>14.058</v>
      </c>
      <c r="D5">
        <v>14.058</v>
      </c>
      <c r="E5">
        <v>14.058</v>
      </c>
      <c r="F5">
        <v>11.204000000000001</v>
      </c>
      <c r="G5" t="s">
        <v>57</v>
      </c>
      <c r="H5" t="e">
        <f>VALUE(NFFT_All[[#This Row],[M8+]])</f>
        <v>#VALUE!</v>
      </c>
      <c r="I5">
        <f>IF(ISBLANK(NFFT_All[[#This Row],[M4+]]),"",ABS(NFFT_All[[#This Row],[M4+]]-(statistics_M4[[#This Row],[mean_gap]]/365)))</f>
        <v>13.153812133072407</v>
      </c>
      <c r="J5">
        <f>IF(ISBLANK(NFFT_All[[#This Row],[M5+]]),"",ABS(NFFT_All[[#This Row],[M5+]]-(statistics_M5[[#This Row],[mean_gap]]/365)))</f>
        <v>13.153812133072407</v>
      </c>
      <c r="K5">
        <f>IF(ISBLANK(NFFT_All[[#This Row],[M6+]]),"",ABS(NFFT_All[[#This Row],[M6+]]-(statistics_M6[[#This Row],[mean_gap]]/365)))</f>
        <v>13.153812133072407</v>
      </c>
      <c r="L5">
        <f>IF(ISBLANK(NFFT_All[[#This Row],[M7+]]),"",ABS(NFFT_All[[#This Row],[M7+]]-(statistics_M7[[#This Row],[mean_gap]]/365)))</f>
        <v>9.3907042707493957</v>
      </c>
      <c r="M5" t="e">
        <f>IF(ISBLANK(NFFT_All[[#This Row],[M8+]]),"",ABS(NFFT_All[[#This Row],[M8+]]-(statistics_M8[[#This Row],[mean_gap]]/365)))</f>
        <v>#VALUE!</v>
      </c>
      <c r="O5">
        <f>IF(ISBLANK(NFFT_All[[#This Row],[M4+]]),"",ABS(NFFT_All[[#This Row],[M4+]]-(statistics_M4[[#This Row],[exact_mode]]/365)))</f>
        <v>13.466219178082191</v>
      </c>
      <c r="P5">
        <f>IF(ISBLANK(NFFT_All[[#This Row],[M5+]]),"",ABS(NFFT_All[[#This Row],[M5+]]-(statistics_M5[[#This Row],[exact_mode]]/365)))</f>
        <v>13.466219178082191</v>
      </c>
      <c r="Q5">
        <f>IF(ISBLANK(NFFT_All[[#This Row],[M6+]]),"",ABS(NFFT_All[[#This Row],[M6+]]-(statistics_M6[[#This Row],[exact_mode]]/365)))</f>
        <v>13.466219178082191</v>
      </c>
      <c r="R5">
        <f>IF(ISBLANK(NFFT_All[[#This Row],[M7+]]),"",ABS(NFFT_All[[#This Row],[M7+]]-(statistics_M7[[#This Row],[exact_mode]]/365)))</f>
        <v>10.140986301369864</v>
      </c>
      <c r="S5" t="e">
        <f>IF(ISBLANK(NFFT_All[[#This Row],[M8+]]),"",ABS(NFFT_All[[#This Row],[M8+]]-(statistics_M8[[#This Row],[exact_mode]]/365)))</f>
        <v>#VALUE!</v>
      </c>
      <c r="U5">
        <f>IF(ISBLANK(NFFT_All[[#This Row],[M4+]]),"",ABS(NFFT_All[[#This Row],[M4+]]-(statistics_M4[[#This Row],[median_gap]]/365)))</f>
        <v>13.274438356164383</v>
      </c>
      <c r="V5">
        <f>IF(ISBLANK(NFFT_All[[#This Row],[M5+]]),"",ABS(NFFT_All[[#This Row],[M5+]]-(statistics_M5[[#This Row],[median_gap]]/365)))</f>
        <v>13.274438356164383</v>
      </c>
      <c r="W5">
        <f>IF(ISBLANK(NFFT_All[[#This Row],[M6+]]),"",ABS(NFFT_All[[#This Row],[M6+]]-(statistics_M6[[#This Row],[median_gap]]/365)))</f>
        <v>13.274438356164383</v>
      </c>
      <c r="X5">
        <f>IF(ISBLANK(NFFT_All[[#This Row],[M7+]]),"",ABS(NFFT_All[[#This Row],[M7+]]-(statistics_M7[[#This Row],[median_gap]]/365)))</f>
        <v>9.9149589041095894</v>
      </c>
      <c r="Y5" t="e">
        <f>IF(ISBLANK(NFFT_All[[#This Row],[M8+]]),"",ABS(NFFT_All[[#This Row],[M8+]]-(statistics_M8[[#This Row],[median_gap]]/365)))</f>
        <v>#VALUE!</v>
      </c>
    </row>
    <row r="6" spans="1:25" x14ac:dyDescent="0.35">
      <c r="A6" t="s">
        <v>10</v>
      </c>
      <c r="B6">
        <v>2</v>
      </c>
      <c r="C6">
        <v>12.023999999999999</v>
      </c>
      <c r="D6">
        <v>3.206</v>
      </c>
      <c r="E6">
        <v>8.18</v>
      </c>
      <c r="G6" t="s">
        <v>58</v>
      </c>
      <c r="H6" t="e">
        <f>VALUE(NFFT_All[[#This Row],[M8+]])</f>
        <v>#VALUE!</v>
      </c>
      <c r="I6">
        <f>IF(ISBLANK(NFFT_All[[#This Row],[M4+]]),"",ABS(NFFT_All[[#This Row],[M4+]]-(statistics_M4[[#This Row],[mean_gap]]/365)))</f>
        <v>10.779503070382615</v>
      </c>
      <c r="J6">
        <f>IF(ISBLANK(NFFT_All[[#This Row],[M5+]]),"",ABS(NFFT_All[[#This Row],[M5+]]-(statistics_M5[[#This Row],[mean_gap]]/365)))</f>
        <v>1.6368516974389518</v>
      </c>
      <c r="K6">
        <f>IF(ISBLANK(NFFT_All[[#This Row],[M6+]]),"",ABS(NFFT_All[[#This Row],[M6+]]-(statistics_M6[[#This Row],[mean_gap]]/365)))</f>
        <v>2.2280697384806967</v>
      </c>
      <c r="L6" t="str">
        <f>IF(ISBLANK(NFFT_All[[#This Row],[M7+]]),"",ABS(NFFT_All[[#This Row],[M7+]]-(statistics_M7[[#This Row],[mean_gap]]/365)))</f>
        <v/>
      </c>
      <c r="M6" t="e">
        <f>IF(ISBLANK(NFFT_All[[#This Row],[M8+]]),"",ABS(NFFT_All[[#This Row],[M8+]]-(statistics_M8[[#This Row],[mean_gap]]/365)))</f>
        <v>#VALUE!</v>
      </c>
      <c r="O6">
        <f>IF(ISBLANK(NFFT_All[[#This Row],[M4+]]),"",ABS(NFFT_All[[#This Row],[M4+]]-(statistics_M4[[#This Row],[exact_mode]]/365)))</f>
        <v>11.525369863013697</v>
      </c>
      <c r="P6">
        <f>IF(ISBLANK(NFFT_All[[#This Row],[M5+]]),"",ABS(NFFT_All[[#This Row],[M5+]]-(statistics_M5[[#This Row],[exact_mode]]/365)))</f>
        <v>2.6388767123287673</v>
      </c>
      <c r="Q6">
        <f>IF(ISBLANK(NFFT_All[[#This Row],[M6+]]),"",ABS(NFFT_All[[#This Row],[M6+]]-(statistics_M6[[#This Row],[exact_mode]]/365)))</f>
        <v>7.4978082191780819</v>
      </c>
      <c r="R6" t="str">
        <f>IF(ISBLANK(NFFT_All[[#This Row],[M7+]]),"",ABS(NFFT_All[[#This Row],[M7+]]-(statistics_M7[[#This Row],[exact_mode]]/365)))</f>
        <v/>
      </c>
      <c r="S6" t="e">
        <f>IF(ISBLANK(NFFT_All[[#This Row],[M8+]]),"",ABS(NFFT_All[[#This Row],[M8+]]-(statistics_M8[[#This Row],[exact_mode]]/365)))</f>
        <v>#VALUE!</v>
      </c>
      <c r="U6">
        <f>IF(ISBLANK(NFFT_All[[#This Row],[M4+]]),"",ABS(NFFT_All[[#This Row],[M4+]]-(statistics_M4[[#This Row],[median_gap]]/365)))</f>
        <v>11.03358904109589</v>
      </c>
      <c r="V6">
        <f>IF(ISBLANK(NFFT_All[[#This Row],[M5+]]),"",ABS(NFFT_All[[#This Row],[M5+]]-(statistics_M5[[#This Row],[median_gap]]/365)))</f>
        <v>1.9649041095890412</v>
      </c>
      <c r="W6">
        <f>IF(ISBLANK(NFFT_All[[#This Row],[M6+]]),"",ABS(NFFT_All[[#This Row],[M6+]]-(statistics_M6[[#This Row],[median_gap]]/365)))</f>
        <v>4.9882191780821916</v>
      </c>
      <c r="X6" t="str">
        <f>IF(ISBLANK(NFFT_All[[#This Row],[M7+]]),"",ABS(NFFT_All[[#This Row],[M7+]]-(statistics_M7[[#This Row],[median_gap]]/365)))</f>
        <v/>
      </c>
      <c r="Y6" t="e">
        <f>IF(ISBLANK(NFFT_All[[#This Row],[M8+]]),"",ABS(NFFT_All[[#This Row],[M8+]]-(statistics_M8[[#This Row],[median_gap]]/365)))</f>
        <v>#VALUE!</v>
      </c>
    </row>
    <row r="7" spans="1:25" x14ac:dyDescent="0.35">
      <c r="A7" t="s">
        <v>10</v>
      </c>
      <c r="B7">
        <v>3</v>
      </c>
      <c r="C7">
        <v>4.9409999999999998</v>
      </c>
      <c r="D7">
        <v>4.9850000000000003</v>
      </c>
      <c r="G7" t="s">
        <v>58</v>
      </c>
      <c r="H7" t="e">
        <f>VALUE(NFFT_All[[#This Row],[M8+]])</f>
        <v>#VALUE!</v>
      </c>
      <c r="I7">
        <f>IF(ISBLANK(NFFT_All[[#This Row],[M4+]]),"",ABS(NFFT_All[[#This Row],[M4+]]-(statistics_M4[[#This Row],[mean_gap]]/365)))</f>
        <v>2.6753036529680365</v>
      </c>
      <c r="J7">
        <f>IF(ISBLANK(NFFT_All[[#This Row],[M5+]]),"",ABS(NFFT_All[[#This Row],[M5+]]-(statistics_M5[[#This Row],[mean_gap]]/365)))</f>
        <v>1.7118835616438361</v>
      </c>
      <c r="K7" t="str">
        <f>IF(ISBLANK(NFFT_All[[#This Row],[M6+]]),"",ABS(NFFT_All[[#This Row],[M6+]]-(statistics_M6[[#This Row],[mean_gap]]/365)))</f>
        <v/>
      </c>
      <c r="L7" t="str">
        <f>IF(ISBLANK(NFFT_All[[#This Row],[M7+]]),"",ABS(NFFT_All[[#This Row],[M7+]]-(statistics_M7[[#This Row],[mean_gap]]/365)))</f>
        <v/>
      </c>
      <c r="M7" t="e">
        <f>IF(ISBLANK(NFFT_All[[#This Row],[M8+]]),"",ABS(NFFT_All[[#This Row],[M8+]]-(statistics_M8[[#This Row],[mean_gap]]/365)))</f>
        <v>#VALUE!</v>
      </c>
      <c r="O7">
        <f>IF(ISBLANK(NFFT_All[[#This Row],[M4+]]),"",ABS(NFFT_All[[#This Row],[M4+]]-(statistics_M4[[#This Row],[exact_mode]]/365)))</f>
        <v>4.3273013698630134</v>
      </c>
      <c r="P7">
        <f>IF(ISBLANK(NFFT_All[[#This Row],[M5+]]),"",ABS(NFFT_All[[#This Row],[M5+]]-(statistics_M5[[#This Row],[exact_mode]]/365)))</f>
        <v>3.8343150684931508</v>
      </c>
      <c r="Q7" t="str">
        <f>IF(ISBLANK(NFFT_All[[#This Row],[M6+]]),"",ABS(NFFT_All[[#This Row],[M6+]]-(statistics_M6[[#This Row],[exact_mode]]/365)))</f>
        <v/>
      </c>
      <c r="R7" t="str">
        <f>IF(ISBLANK(NFFT_All[[#This Row],[M7+]]),"",ABS(NFFT_All[[#This Row],[M7+]]-(statistics_M7[[#This Row],[exact_mode]]/365)))</f>
        <v/>
      </c>
      <c r="S7" t="e">
        <f>IF(ISBLANK(NFFT_All[[#This Row],[M8+]]),"",ABS(NFFT_All[[#This Row],[M8+]]-(statistics_M8[[#This Row],[exact_mode]]/365)))</f>
        <v>#VALUE!</v>
      </c>
      <c r="U7">
        <f>IF(ISBLANK(NFFT_All[[#This Row],[M4+]]),"",ABS(NFFT_All[[#This Row],[M4+]]-(statistics_M4[[#This Row],[median_gap]]/365)))</f>
        <v>3.8081232876712328</v>
      </c>
      <c r="V7">
        <f>IF(ISBLANK(NFFT_All[[#This Row],[M5+]]),"",ABS(NFFT_All[[#This Row],[M5+]]-(statistics_M5[[#This Row],[median_gap]]/365)))</f>
        <v>3.5000684931506854</v>
      </c>
      <c r="W7" t="str">
        <f>IF(ISBLANK(NFFT_All[[#This Row],[M6+]]),"",ABS(NFFT_All[[#This Row],[M6+]]-(statistics_M6[[#This Row],[median_gap]]/365)))</f>
        <v/>
      </c>
      <c r="X7" t="str">
        <f>IF(ISBLANK(NFFT_All[[#This Row],[M7+]]),"",ABS(NFFT_All[[#This Row],[M7+]]-(statistics_M7[[#This Row],[median_gap]]/365)))</f>
        <v/>
      </c>
      <c r="Y7" t="e">
        <f>IF(ISBLANK(NFFT_All[[#This Row],[M8+]]),"",ABS(NFFT_All[[#This Row],[M8+]]-(statistics_M8[[#This Row],[median_gap]]/365)))</f>
        <v>#VALUE!</v>
      </c>
    </row>
    <row r="8" spans="1:25" x14ac:dyDescent="0.35">
      <c r="A8" t="s">
        <v>11</v>
      </c>
      <c r="B8">
        <v>1</v>
      </c>
      <c r="C8">
        <v>4.3689999999999998</v>
      </c>
      <c r="D8">
        <v>4.3689999999999998</v>
      </c>
      <c r="E8">
        <v>4.3689999999999998</v>
      </c>
      <c r="F8">
        <v>5.9290000000000003</v>
      </c>
      <c r="G8" t="s">
        <v>57</v>
      </c>
      <c r="H8" t="e">
        <f>VALUE(NFFT_All[[#This Row],[M8+]])</f>
        <v>#VALUE!</v>
      </c>
      <c r="I8">
        <f>IF(ISBLANK(NFFT_All[[#This Row],[M4+]]),"",ABS(NFFT_All[[#This Row],[M4+]]-(statistics_M4[[#This Row],[mean_gap]]/365)))</f>
        <v>3.5039695585996955</v>
      </c>
      <c r="J8">
        <f>IF(ISBLANK(NFFT_All[[#This Row],[M5+]]),"",ABS(NFFT_All[[#This Row],[M5+]]-(statistics_M5[[#This Row],[mean_gap]]/365)))</f>
        <v>3.5039695585996955</v>
      </c>
      <c r="K8">
        <f>IF(ISBLANK(NFFT_All[[#This Row],[M6+]]),"",ABS(NFFT_All[[#This Row],[M6+]]-(statistics_M6[[#This Row],[mean_gap]]/365)))</f>
        <v>3.4663595394083777</v>
      </c>
      <c r="L8">
        <f>IF(ISBLANK(NFFT_All[[#This Row],[M7+]]),"",ABS(NFFT_All[[#This Row],[M7+]]-(statistics_M7[[#This Row],[mean_gap]]/365)))</f>
        <v>3.9517875625135903</v>
      </c>
      <c r="M8" t="e">
        <f>IF(ISBLANK(NFFT_All[[#This Row],[M8+]]),"",ABS(NFFT_All[[#This Row],[M8+]]-(statistics_M8[[#This Row],[mean_gap]]/365)))</f>
        <v>#VALUE!</v>
      </c>
      <c r="O8">
        <f>IF(ISBLANK(NFFT_All[[#This Row],[M4+]]),"",ABS(NFFT_All[[#This Row],[M4+]]-(statistics_M4[[#This Row],[exact_mode]]/365)))</f>
        <v>3.8676301369863011</v>
      </c>
      <c r="P8">
        <f>IF(ISBLANK(NFFT_All[[#This Row],[M5+]]),"",ABS(NFFT_All[[#This Row],[M5+]]-(statistics_M5[[#This Row],[exact_mode]]/365)))</f>
        <v>3.8676301369863011</v>
      </c>
      <c r="Q8">
        <f>IF(ISBLANK(NFFT_All[[#This Row],[M6+]]),"",ABS(NFFT_All[[#This Row],[M6+]]-(statistics_M6[[#This Row],[exact_mode]]/365)))</f>
        <v>3.8676301369863011</v>
      </c>
      <c r="R8">
        <f>IF(ISBLANK(NFFT_All[[#This Row],[M7+]]),"",ABS(NFFT_All[[#This Row],[M7+]]-(statistics_M7[[#This Row],[exact_mode]]/365)))</f>
        <v>5.3344794520547945</v>
      </c>
      <c r="S8" t="e">
        <f>IF(ISBLANK(NFFT_All[[#This Row],[M8+]]),"",ABS(NFFT_All[[#This Row],[M8+]]-(statistics_M8[[#This Row],[exact_mode]]/365)))</f>
        <v>#VALUE!</v>
      </c>
      <c r="U8">
        <f>IF(ISBLANK(NFFT_All[[#This Row],[M4+]]),"",ABS(NFFT_All[[#This Row],[M4+]]-(statistics_M4[[#This Row],[median_gap]]/365)))</f>
        <v>3.6224246575342463</v>
      </c>
      <c r="V8">
        <f>IF(ISBLANK(NFFT_All[[#This Row],[M5+]]),"",ABS(NFFT_All[[#This Row],[M5+]]-(statistics_M5[[#This Row],[median_gap]]/365)))</f>
        <v>3.6224246575342463</v>
      </c>
      <c r="W8">
        <f>IF(ISBLANK(NFFT_All[[#This Row],[M6+]]),"",ABS(NFFT_All[[#This Row],[M6+]]-(statistics_M6[[#This Row],[median_gap]]/365)))</f>
        <v>3.6210547945205476</v>
      </c>
      <c r="X8">
        <f>IF(ISBLANK(NFFT_All[[#This Row],[M7+]]),"",ABS(NFFT_All[[#This Row],[M7+]]-(statistics_M7[[#This Row],[median_gap]]/365)))</f>
        <v>4.3454383561643839</v>
      </c>
      <c r="Y8" t="e">
        <f>IF(ISBLANK(NFFT_All[[#This Row],[M8+]]),"",ABS(NFFT_All[[#This Row],[M8+]]-(statistics_M8[[#This Row],[median_gap]]/365)))</f>
        <v>#VALUE!</v>
      </c>
    </row>
    <row r="9" spans="1:25" x14ac:dyDescent="0.35">
      <c r="A9" t="s">
        <v>11</v>
      </c>
      <c r="B9">
        <v>2</v>
      </c>
      <c r="G9" t="s">
        <v>58</v>
      </c>
      <c r="H9" t="e">
        <f>VALUE(NFFT_All[[#This Row],[M8+]])</f>
        <v>#VALUE!</v>
      </c>
      <c r="I9" t="str">
        <f>IF(ISBLANK(NFFT_All[[#This Row],[M4+]]),"",ABS(NFFT_All[[#This Row],[M4+]]-(statistics_M4[[#This Row],[mean_gap]]/365)))</f>
        <v/>
      </c>
      <c r="J9" t="str">
        <f>IF(ISBLANK(NFFT_All[[#This Row],[M5+]]),"",ABS(NFFT_All[[#This Row],[M5+]]-(statistics_M5[[#This Row],[mean_gap]]/365)))</f>
        <v/>
      </c>
      <c r="K9" t="str">
        <f>IF(ISBLANK(NFFT_All[[#This Row],[M6+]]),"",ABS(NFFT_All[[#This Row],[M6+]]-(statistics_M6[[#This Row],[mean_gap]]/365)))</f>
        <v/>
      </c>
      <c r="L9" t="str">
        <f>IF(ISBLANK(NFFT_All[[#This Row],[M7+]]),"",ABS(NFFT_All[[#This Row],[M7+]]-(statistics_M7[[#This Row],[mean_gap]]/365)))</f>
        <v/>
      </c>
      <c r="M9" t="e">
        <f>IF(ISBLANK(NFFT_All[[#This Row],[M8+]]),"",ABS(NFFT_All[[#This Row],[M8+]]-(statistics_M8[[#This Row],[mean_gap]]/365)))</f>
        <v>#VALUE!</v>
      </c>
      <c r="O9" t="str">
        <f>IF(ISBLANK(NFFT_All[[#This Row],[M4+]]),"",ABS(NFFT_All[[#This Row],[M4+]]-(statistics_M4[[#This Row],[exact_mode]]/365)))</f>
        <v/>
      </c>
      <c r="P9" t="str">
        <f>IF(ISBLANK(NFFT_All[[#This Row],[M5+]]),"",ABS(NFFT_All[[#This Row],[M5+]]-(statistics_M5[[#This Row],[exact_mode]]/365)))</f>
        <v/>
      </c>
      <c r="Q9" t="str">
        <f>IF(ISBLANK(NFFT_All[[#This Row],[M6+]]),"",ABS(NFFT_All[[#This Row],[M6+]]-(statistics_M6[[#This Row],[exact_mode]]/365)))</f>
        <v/>
      </c>
      <c r="R9" t="str">
        <f>IF(ISBLANK(NFFT_All[[#This Row],[M7+]]),"",ABS(NFFT_All[[#This Row],[M7+]]-(statistics_M7[[#This Row],[exact_mode]]/365)))</f>
        <v/>
      </c>
      <c r="S9" t="e">
        <f>IF(ISBLANK(NFFT_All[[#This Row],[M8+]]),"",ABS(NFFT_All[[#This Row],[M8+]]-(statistics_M8[[#This Row],[exact_mode]]/365)))</f>
        <v>#VALUE!</v>
      </c>
      <c r="U9" t="str">
        <f>IF(ISBLANK(NFFT_All[[#This Row],[M4+]]),"",ABS(NFFT_All[[#This Row],[M4+]]-(statistics_M4[[#This Row],[median_gap]]/365)))</f>
        <v/>
      </c>
      <c r="V9" t="str">
        <f>IF(ISBLANK(NFFT_All[[#This Row],[M5+]]),"",ABS(NFFT_All[[#This Row],[M5+]]-(statistics_M5[[#This Row],[median_gap]]/365)))</f>
        <v/>
      </c>
      <c r="W9" t="str">
        <f>IF(ISBLANK(NFFT_All[[#This Row],[M6+]]),"",ABS(NFFT_All[[#This Row],[M6+]]-(statistics_M6[[#This Row],[median_gap]]/365)))</f>
        <v/>
      </c>
      <c r="X9" t="str">
        <f>IF(ISBLANK(NFFT_All[[#This Row],[M7+]]),"",ABS(NFFT_All[[#This Row],[M7+]]-(statistics_M7[[#This Row],[median_gap]]/365)))</f>
        <v/>
      </c>
      <c r="Y9" t="e">
        <f>IF(ISBLANK(NFFT_All[[#This Row],[M8+]]),"",ABS(NFFT_All[[#This Row],[M8+]]-(statistics_M8[[#This Row],[median_gap]]/365)))</f>
        <v>#VALUE!</v>
      </c>
    </row>
    <row r="10" spans="1:25" x14ac:dyDescent="0.35">
      <c r="A10" t="s">
        <v>12</v>
      </c>
      <c r="B10">
        <v>1</v>
      </c>
      <c r="C10">
        <v>2.004</v>
      </c>
      <c r="D10">
        <v>2.004</v>
      </c>
      <c r="E10">
        <v>35.212000000000003</v>
      </c>
      <c r="F10">
        <v>7.9509999999999996</v>
      </c>
      <c r="G10" t="s">
        <v>57</v>
      </c>
      <c r="H10" t="e">
        <f>VALUE(NFFT_All[[#This Row],[M8+]])</f>
        <v>#VALUE!</v>
      </c>
      <c r="I10">
        <f>IF(ISBLANK(NFFT_All[[#This Row],[M4+]]),"",ABS(NFFT_All[[#This Row],[M4+]]-('statistics-M4'!I11/365)))</f>
        <v>1.0481754274184985</v>
      </c>
      <c r="J10">
        <f>IF(ISBLANK(NFFT_All[[#This Row],[M5+]]),"",ABS(NFFT_All[[#This Row],[M5+]]-('statistics-M5'!$I11/365)))</f>
        <v>1.0481754274184985</v>
      </c>
      <c r="K10">
        <f>IF(ISBLANK(NFFT_All[[#This Row],[M6+]]),"",ABS(NFFT_All[[#This Row],[M6+]]-('statistics-M6'!$I11/365)))</f>
        <v>34.217634114007957</v>
      </c>
      <c r="L10">
        <f>IF(ISBLANK(NFFT_All[[#This Row],[M7+]]),"",ABS(NFFT_All[[#This Row],[M7+]]-('statistics-M7'!$I11/365)))</f>
        <v>4.2145948526359485</v>
      </c>
      <c r="M10" t="e">
        <f>IF(ISBLANK(NFFT_All[[#This Row],[M8+]]),"",ABS(NFFT_All[[#This Row],[M8+]]-('statistics-M8'!$I11/365)))</f>
        <v>#VALUE!</v>
      </c>
      <c r="O10">
        <f>IF(ISBLANK(NFFT_All[[#This Row],[M4+]]),"",ABS(NFFT_All[[#This Row],[M4+]]-('statistics-M4'!$F11/365)))</f>
        <v>1.3957808219178083</v>
      </c>
      <c r="P10">
        <f>IF(ISBLANK(NFFT_All[[#This Row],[M5+]]),"",ABS(NFFT_All[[#This Row],[M5+]]-('statistics-M5'!$F11/365)))</f>
        <v>1.3957808219178083</v>
      </c>
      <c r="Q10">
        <f>IF(ISBLANK(NFFT_All[[#This Row],[M6+]]),"",ABS(NFFT_All[[#This Row],[M6+]]-('statistics-M6'!$F11/365)))</f>
        <v>34.603780821917809</v>
      </c>
      <c r="R10">
        <f>IF(ISBLANK(NFFT_All[[#This Row],[M7+]]),"",ABS(NFFT_All[[#This Row],[M7+]]-('statistics-M7'!$F11/365)))</f>
        <v>7.2989452054794519</v>
      </c>
      <c r="S10" t="e">
        <f>IF(ISBLANK(NFFT_All[[#This Row],[M8+]]),"",ABS(NFFT_All[[#This Row],[M8+]]-('statistics-M8'!$F11/365)))</f>
        <v>#VALUE!</v>
      </c>
      <c r="U10">
        <f>IF(ISBLANK(NFFT_All[[#This Row],[M4+]]),"",ABS(NFFT_All[[#This Row],[M4+]]-('statistics-M4'!$J11/365)))</f>
        <v>1.1382465753424658</v>
      </c>
      <c r="V10">
        <f>IF(ISBLANK(NFFT_All[[#This Row],[M5+]]),"",ABS(NFFT_All[[#This Row],[M5+]]-('statistics-M5'!$J11/365)))</f>
        <v>1.1382465753424658</v>
      </c>
      <c r="W10">
        <f>IF(ISBLANK(NFFT_All[[#This Row],[M6+]]),"",ABS(NFFT_All[[#This Row],[M6+]]-('statistics-M6'!$J11/365)))</f>
        <v>34.298301369863019</v>
      </c>
      <c r="X10">
        <f>IF(ISBLANK(NFFT_All[[#This Row],[M7+]]),"",ABS(NFFT_All[[#This Row],[M7+]]-('statistics-M7'!$J11/365)))</f>
        <v>5.4277123287671234</v>
      </c>
      <c r="Y10" t="e">
        <f>IF(ISBLANK(NFFT_All[[#This Row],[M8+]]),"",ABS(NFFT_All[[#This Row],[M8+]]-('statistics-M8'!$J11/365)))</f>
        <v>#VALUE!</v>
      </c>
    </row>
    <row r="11" spans="1:25" x14ac:dyDescent="0.35">
      <c r="A11" t="s">
        <v>13</v>
      </c>
      <c r="B11">
        <v>1</v>
      </c>
      <c r="C11">
        <v>5.7009999999999996</v>
      </c>
      <c r="D11">
        <v>5.7009999999999996</v>
      </c>
      <c r="E11">
        <v>5.7009999999999996</v>
      </c>
      <c r="F11">
        <v>9.5990000000000002</v>
      </c>
      <c r="G11" t="s">
        <v>57</v>
      </c>
      <c r="H11" t="e">
        <f>VALUE(NFFT_All[[#This Row],[M8+]])</f>
        <v>#VALUE!</v>
      </c>
      <c r="I11">
        <f>IF(ISBLANK(NFFT_All[[#This Row],[M4+]]),"",ABS(NFFT_All[[#This Row],[M4+]]-('statistics-M4'!I14/365)))</f>
        <v>4.8046790606653618</v>
      </c>
      <c r="J11">
        <f>IF(ISBLANK(NFFT_All[[#This Row],[M5+]]),"",ABS(NFFT_All[[#This Row],[M5+]]-('statistics-M5'!$I14/365)))</f>
        <v>4.8046790606653618</v>
      </c>
      <c r="K11">
        <f>IF(ISBLANK(NFFT_All[[#This Row],[M6+]]),"",ABS(NFFT_All[[#This Row],[M6+]]-('statistics-M6'!$I14/365)))</f>
        <v>4.7916889021242799</v>
      </c>
      <c r="L11">
        <f>IF(ISBLANK(NFFT_All[[#This Row],[M7+]]),"",ABS(NFFT_All[[#This Row],[M7+]]-('statistics-M7'!$I14/365)))</f>
        <v>6.9425733022442433</v>
      </c>
      <c r="M11" t="e">
        <f>IF(ISBLANK(NFFT_All[[#This Row],[M8+]]),"",ABS(NFFT_All[[#This Row],[M8+]]-('statistics-M8'!$I14/365)))</f>
        <v>#VALUE!</v>
      </c>
      <c r="O11">
        <f>IF(ISBLANK(NFFT_All[[#This Row],[M4+]]),"",ABS(NFFT_All[[#This Row],[M4+]]-('statistics-M4'!$F14/365)))</f>
        <v>5.2051095890410952</v>
      </c>
      <c r="P11">
        <f>IF(ISBLANK(NFFT_All[[#This Row],[M5+]]),"",ABS(NFFT_All[[#This Row],[M5+]]-('statistics-M5'!$F14/365)))</f>
        <v>5.2051095890410952</v>
      </c>
      <c r="Q11">
        <f>IF(ISBLANK(NFFT_All[[#This Row],[M6+]]),"",ABS(NFFT_All[[#This Row],[M6+]]-('statistics-M6'!$F14/365)))</f>
        <v>5.2051095890410952</v>
      </c>
      <c r="R11">
        <f>IF(ISBLANK(NFFT_All[[#This Row],[M7+]]),"",ABS(NFFT_All[[#This Row],[M7+]]-('statistics-M7'!$F14/365)))</f>
        <v>9.0373561643835618</v>
      </c>
      <c r="S11" t="e">
        <f>IF(ISBLANK(NFFT_All[[#This Row],[M8+]]),"",ABS(NFFT_All[[#This Row],[M8+]]-('statistics-M8'!$F14/365)))</f>
        <v>#VALUE!</v>
      </c>
      <c r="U11">
        <f>IF(ISBLANK(NFFT_All[[#This Row],[M4+]]),"",ABS(NFFT_All[[#This Row],[M4+]]-('statistics-M4'!$J14/365)))</f>
        <v>4.8585342465753421</v>
      </c>
      <c r="V11">
        <f>IF(ISBLANK(NFFT_All[[#This Row],[M5+]]),"",ABS(NFFT_All[[#This Row],[M5+]]-('statistics-M5'!$J14/365)))</f>
        <v>4.8585342465753421</v>
      </c>
      <c r="W11">
        <f>IF(ISBLANK(NFFT_All[[#This Row],[M6+]]),"",ABS(NFFT_All[[#This Row],[M6+]]-('statistics-M6'!$J14/365)))</f>
        <v>4.85031506849315</v>
      </c>
      <c r="X11">
        <f>IF(ISBLANK(NFFT_All[[#This Row],[M7+]]),"",ABS(NFFT_All[[#This Row],[M7+]]-('statistics-M7'!$J14/365)))</f>
        <v>7.744205479452055</v>
      </c>
      <c r="Y11" t="e">
        <f>IF(ISBLANK(NFFT_All[[#This Row],[M8+]]),"",ABS(NFFT_All[[#This Row],[M8+]]-('statistics-M8'!$J14/365)))</f>
        <v>#VALUE!</v>
      </c>
    </row>
    <row r="12" spans="1:25" x14ac:dyDescent="0.35">
      <c r="A12" t="s">
        <v>13</v>
      </c>
      <c r="B12">
        <v>2</v>
      </c>
      <c r="C12">
        <v>3.8220000000000001</v>
      </c>
      <c r="D12">
        <v>2.694</v>
      </c>
      <c r="E12">
        <v>11.789</v>
      </c>
      <c r="G12" t="s">
        <v>58</v>
      </c>
      <c r="H12" t="e">
        <f>VALUE(NFFT_All[[#This Row],[M8+]])</f>
        <v>#VALUE!</v>
      </c>
      <c r="I12">
        <f>IF(ISBLANK(NFFT_All[[#This Row],[M4+]]),"",ABS(NFFT_All[[#This Row],[M4+]]-('statistics-M4'!I15/365)))</f>
        <v>2.945763318112633</v>
      </c>
      <c r="J12">
        <f>IF(ISBLANK(NFFT_All[[#This Row],[M5+]]),"",ABS(NFFT_All[[#This Row],[M5+]]-('statistics-M5'!$I15/365)))</f>
        <v>1.6832178524083075</v>
      </c>
      <c r="K12">
        <f>IF(ISBLANK(NFFT_All[[#This Row],[M6+]]),"",ABS(NFFT_All[[#This Row],[M6+]]-('statistics-M6'!$I15/365)))</f>
        <v>9.6899519387044339</v>
      </c>
      <c r="L12" t="str">
        <f>IF(ISBLANK(NFFT_All[[#This Row],[M7+]]),"",ABS(NFFT_All[[#This Row],[M7+]]-('statistics-M7'!$I15/365)))</f>
        <v/>
      </c>
      <c r="M12" t="e">
        <f>IF(ISBLANK(NFFT_All[[#This Row],[M8+]]),"",ABS(NFFT_All[[#This Row],[M8+]]-('statistics-M8'!$I15/365)))</f>
        <v>#VALUE!</v>
      </c>
      <c r="O12">
        <f>IF(ISBLANK(NFFT_All[[#This Row],[M4+]]),"",ABS(NFFT_All[[#This Row],[M4+]]-('statistics-M4'!$F15/365)))</f>
        <v>3.3206301369863014</v>
      </c>
      <c r="P12">
        <f>IF(ISBLANK(NFFT_All[[#This Row],[M5+]]),"",ABS(NFFT_All[[#This Row],[M5+]]-('statistics-M5'!$F15/365)))</f>
        <v>2.1926301369863013</v>
      </c>
      <c r="Q12">
        <f>IF(ISBLANK(NFFT_All[[#This Row],[M6+]]),"",ABS(NFFT_All[[#This Row],[M6+]]-('statistics-M6'!$F15/365)))</f>
        <v>11.046534246575343</v>
      </c>
      <c r="R12" t="str">
        <f>IF(ISBLANK(NFFT_All[[#This Row],[M7+]]),"",ABS(NFFT_All[[#This Row],[M7+]]-('statistics-M7'!$F15/365)))</f>
        <v/>
      </c>
      <c r="S12" t="e">
        <f>IF(ISBLANK(NFFT_All[[#This Row],[M8+]]),"",ABS(NFFT_All[[#This Row],[M8+]]-('statistics-M8'!$F15/365)))</f>
        <v>#VALUE!</v>
      </c>
      <c r="U12">
        <f>IF(ISBLANK(NFFT_All[[#This Row],[M4+]]),"",ABS(NFFT_All[[#This Row],[M4+]]-('statistics-M4'!$J15/365)))</f>
        <v>3.0124109589041099</v>
      </c>
      <c r="V12">
        <f>IF(ISBLANK(NFFT_All[[#This Row],[M5+]]),"",ABS(NFFT_All[[#This Row],[M5+]]-('statistics-M5'!$J15/365)))</f>
        <v>1.8474246575342466</v>
      </c>
      <c r="W12">
        <f>IF(ISBLANK(NFFT_All[[#This Row],[M6+]]),"",ABS(NFFT_All[[#This Row],[M6+]]-('statistics-M6'!$J15/365)))</f>
        <v>10.106808219178081</v>
      </c>
      <c r="X12" t="str">
        <f>IF(ISBLANK(NFFT_All[[#This Row],[M7+]]),"",ABS(NFFT_All[[#This Row],[M7+]]-('statistics-M7'!$J15/365)))</f>
        <v/>
      </c>
      <c r="Y12" t="e">
        <f>IF(ISBLANK(NFFT_All[[#This Row],[M8+]]),"",ABS(NFFT_All[[#This Row],[M8+]]-('statistics-M8'!$J15/365)))</f>
        <v>#VALUE!</v>
      </c>
    </row>
    <row r="13" spans="1:25" x14ac:dyDescent="0.35">
      <c r="A13" t="s">
        <v>13</v>
      </c>
      <c r="B13">
        <v>3</v>
      </c>
      <c r="C13">
        <v>5.6139999999999999</v>
      </c>
      <c r="D13">
        <v>3.0680000000000001</v>
      </c>
      <c r="E13">
        <v>8.0879999999999992</v>
      </c>
      <c r="G13" t="s">
        <v>58</v>
      </c>
      <c r="H13" t="e">
        <f>VALUE(NFFT_All[[#This Row],[M8+]])</f>
        <v>#VALUE!</v>
      </c>
      <c r="I13">
        <f>IF(ISBLANK(NFFT_All[[#This Row],[M4+]]),"",ABS(NFFT_All[[#This Row],[M4+]]-('statistics-M4'!I16/365)))</f>
        <v>4.6561153233513854</v>
      </c>
      <c r="J13">
        <f>IF(ISBLANK(NFFT_All[[#This Row],[M5+]]),"",ABS(NFFT_All[[#This Row],[M5+]]-('statistics-M5'!$I16/365)))</f>
        <v>1.3858457496716083</v>
      </c>
      <c r="K13">
        <f>IF(ISBLANK(NFFT_All[[#This Row],[M6+]]),"",ABS(NFFT_All[[#This Row],[M6+]]-('statistics-M6'!$I16/365)))</f>
        <v>3.3675662100456618</v>
      </c>
      <c r="L13" t="str">
        <f>IF(ISBLANK(NFFT_All[[#This Row],[M7+]]),"",ABS(NFFT_All[[#This Row],[M7+]]-('statistics-M7'!$I16/365)))</f>
        <v/>
      </c>
      <c r="M13" t="e">
        <f>IF(ISBLANK(NFFT_All[[#This Row],[M8+]]),"",ABS(NFFT_All[[#This Row],[M8+]]-('statistics-M8'!$I16/365)))</f>
        <v>#VALUE!</v>
      </c>
      <c r="O13">
        <f>IF(ISBLANK(NFFT_All[[#This Row],[M4+]]),"",ABS(NFFT_All[[#This Row],[M4+]]-('statistics-M4'!$F16/365)))</f>
        <v>4.8441369863013701</v>
      </c>
      <c r="P13">
        <f>IF(ISBLANK(NFFT_All[[#This Row],[M5+]]),"",ABS(NFFT_All[[#This Row],[M5+]]-('statistics-M5'!$F16/365)))</f>
        <v>2.4269041095890413</v>
      </c>
      <c r="Q13">
        <f>IF(ISBLANK(NFFT_All[[#This Row],[M6+]]),"",ABS(NFFT_All[[#This Row],[M6+]]-('statistics-M6'!$F16/365)))</f>
        <v>7.4660821917808207</v>
      </c>
      <c r="R13" t="str">
        <f>IF(ISBLANK(NFFT_All[[#This Row],[M7+]]),"",ABS(NFFT_All[[#This Row],[M7+]]-('statistics-M7'!$F16/365)))</f>
        <v/>
      </c>
      <c r="S13" t="e">
        <f>IF(ISBLANK(NFFT_All[[#This Row],[M8+]]),"",ABS(NFFT_All[[#This Row],[M8+]]-('statistics-M8'!$F16/365)))</f>
        <v>#VALUE!</v>
      </c>
      <c r="U13">
        <f>IF(ISBLANK(NFFT_All[[#This Row],[M4+]]),"",ABS(NFFT_All[[#This Row],[M4+]]-('statistics-M4'!$J16/365)))</f>
        <v>4.7811232876712326</v>
      </c>
      <c r="V13">
        <f>IF(ISBLANK(NFFT_All[[#This Row],[M5+]]),"",ABS(NFFT_All[[#This Row],[M5+]]-('statistics-M5'!$J16/365)))</f>
        <v>1.6460821917808219</v>
      </c>
      <c r="W13">
        <f>IF(ISBLANK(NFFT_All[[#This Row],[M6+]]),"",ABS(NFFT_All[[#This Row],[M6+]]-('statistics-M6'!$J16/365)))</f>
        <v>5.2537534246575337</v>
      </c>
      <c r="X13" t="str">
        <f>IF(ISBLANK(NFFT_All[[#This Row],[M7+]]),"",ABS(NFFT_All[[#This Row],[M7+]]-('statistics-M7'!$J16/365)))</f>
        <v/>
      </c>
      <c r="Y13" t="e">
        <f>IF(ISBLANK(NFFT_All[[#This Row],[M8+]]),"",ABS(NFFT_All[[#This Row],[M8+]]-('statistics-M8'!$J16/365)))</f>
        <v>#VALUE!</v>
      </c>
    </row>
    <row r="14" spans="1:25" x14ac:dyDescent="0.35">
      <c r="A14" t="s">
        <v>14</v>
      </c>
      <c r="B14">
        <v>1</v>
      </c>
      <c r="C14">
        <v>2.25</v>
      </c>
      <c r="D14">
        <v>2.25</v>
      </c>
      <c r="E14">
        <v>27.994</v>
      </c>
      <c r="F14">
        <v>5.3339999999999996</v>
      </c>
      <c r="G14" t="s">
        <v>57</v>
      </c>
      <c r="H14" t="e">
        <f>VALUE(NFFT_All[[#This Row],[M8+]])</f>
        <v>#VALUE!</v>
      </c>
      <c r="I14">
        <f>IF(ISBLANK(NFFT_All[[#This Row],[M4+]]),"",ABS(NFFT_All[[#This Row],[M4+]]-('statistics-M4'!I17/365)))</f>
        <v>1.2497173298543163</v>
      </c>
      <c r="J14">
        <f>IF(ISBLANK(NFFT_All[[#This Row],[M5+]]),"",ABS(NFFT_All[[#This Row],[M5+]]-('statistics-M5'!$I17/365)))</f>
        <v>1.2497173298543163</v>
      </c>
      <c r="K14">
        <f>IF(ISBLANK(NFFT_All[[#This Row],[M6+]]),"",ABS(NFFT_All[[#This Row],[M6+]]-('statistics-M6'!$I17/365)))</f>
        <v>26.837709940932513</v>
      </c>
      <c r="L14">
        <f>IF(ISBLANK(NFFT_All[[#This Row],[M7+]]),"",ABS(NFFT_All[[#This Row],[M7+]]-('statistics-M7'!$I17/365)))</f>
        <v>2.4114951076320934</v>
      </c>
      <c r="M14" t="e">
        <f>IF(ISBLANK(NFFT_All[[#This Row],[M8+]]),"",ABS(NFFT_All[[#This Row],[M8+]]-('statistics-M8'!$I17/365)))</f>
        <v>#VALUE!</v>
      </c>
      <c r="O14">
        <f>IF(ISBLANK(NFFT_All[[#This Row],[M4+]]),"",ABS(NFFT_All[[#This Row],[M4+]]-('statistics-M4'!$F17/365)))</f>
        <v>1.7376712328767123</v>
      </c>
      <c r="P14">
        <f>IF(ISBLANK(NFFT_All[[#This Row],[M5+]]),"",ABS(NFFT_All[[#This Row],[M5+]]-('statistics-M5'!$F17/365)))</f>
        <v>1.7376712328767123</v>
      </c>
      <c r="Q14">
        <f>IF(ISBLANK(NFFT_All[[#This Row],[M6+]]),"",ABS(NFFT_All[[#This Row],[M6+]]-('statistics-M6'!$F17/365)))</f>
        <v>27.481671232876714</v>
      </c>
      <c r="R14">
        <f>IF(ISBLANK(NFFT_All[[#This Row],[M7+]]),"",ABS(NFFT_All[[#This Row],[M7+]]-('statistics-M7'!$F17/365)))</f>
        <v>3.2545479452054793</v>
      </c>
      <c r="S14" t="e">
        <f>IF(ISBLANK(NFFT_All[[#This Row],[M8+]]),"",ABS(NFFT_All[[#This Row],[M8+]]-('statistics-M8'!$F17/365)))</f>
        <v>#VALUE!</v>
      </c>
      <c r="U14">
        <f>IF(ISBLANK(NFFT_All[[#This Row],[M4+]]),"",ABS(NFFT_All[[#This Row],[M4+]]-('statistics-M4'!$J17/365)))</f>
        <v>1.3335616438356164</v>
      </c>
      <c r="V14">
        <f>IF(ISBLANK(NFFT_All[[#This Row],[M5+]]),"",ABS(NFFT_All[[#This Row],[M5+]]-('statistics-M5'!$J17/365)))</f>
        <v>1.3335616438356164</v>
      </c>
      <c r="W14">
        <f>IF(ISBLANK(NFFT_All[[#This Row],[M6+]]),"",ABS(NFFT_All[[#This Row],[M6+]]-('statistics-M6'!$J17/365)))</f>
        <v>26.999479452054793</v>
      </c>
      <c r="X14">
        <f>IF(ISBLANK(NFFT_All[[#This Row],[M7+]]),"",ABS(NFFT_All[[#This Row],[M7+]]-('statistics-M7'!$J17/365)))</f>
        <v>3.1011232876712325</v>
      </c>
      <c r="Y14" t="e">
        <f>IF(ISBLANK(NFFT_All[[#This Row],[M8+]]),"",ABS(NFFT_All[[#This Row],[M8+]]-('statistics-M8'!$J17/365)))</f>
        <v>#VALUE!</v>
      </c>
    </row>
    <row r="15" spans="1:25" x14ac:dyDescent="0.35">
      <c r="A15" t="s">
        <v>14</v>
      </c>
      <c r="B15">
        <v>2</v>
      </c>
      <c r="C15">
        <v>4.6630000000000003</v>
      </c>
      <c r="D15">
        <v>2.423</v>
      </c>
      <c r="E15">
        <v>3.0510000000000002</v>
      </c>
      <c r="G15" t="s">
        <v>58</v>
      </c>
      <c r="H15" t="e">
        <f>VALUE(NFFT_All[[#This Row],[M8+]])</f>
        <v>#VALUE!</v>
      </c>
      <c r="I15">
        <f>IF(ISBLANK(NFFT_All[[#This Row],[M4+]]),"",ABS(NFFT_All[[#This Row],[M4+]]-('statistics-M4'!I18/365)))</f>
        <v>3.6496157646530429</v>
      </c>
      <c r="J15">
        <f>IF(ISBLANK(NFFT_All[[#This Row],[M5+]]),"",ABS(NFFT_All[[#This Row],[M5+]]-('statistics-M5'!$I18/365)))</f>
        <v>1.2990647571606475</v>
      </c>
      <c r="K15">
        <f>IF(ISBLANK(NFFT_All[[#This Row],[M6+]]),"",ABS(NFFT_All[[#This Row],[M6+]]-('statistics-M6'!$I18/365)))</f>
        <v>1.2328694601128123</v>
      </c>
      <c r="L15" t="str">
        <f>IF(ISBLANK(NFFT_All[[#This Row],[M7+]]),"",ABS(NFFT_All[[#This Row],[M7+]]-('statistics-M7'!$I18/365)))</f>
        <v/>
      </c>
      <c r="M15" t="e">
        <f>IF(ISBLANK(NFFT_All[[#This Row],[M8+]]),"",ABS(NFFT_All[[#This Row],[M8+]]-('statistics-M8'!$I18/365)))</f>
        <v>#VALUE!</v>
      </c>
      <c r="O15">
        <f>IF(ISBLANK(NFFT_All[[#This Row],[M4+]]),"",ABS(NFFT_All[[#This Row],[M4+]]-('statistics-M4'!$F18/365)))</f>
        <v>3.9999863013698631</v>
      </c>
      <c r="P15">
        <f>IF(ISBLANK(NFFT_All[[#This Row],[M5+]]),"",ABS(NFFT_All[[#This Row],[M5+]]-('statistics-M5'!$F18/365)))</f>
        <v>1.8914931506849315</v>
      </c>
      <c r="Q15">
        <f>IF(ISBLANK(NFFT_All[[#This Row],[M6+]]),"",ABS(NFFT_All[[#This Row],[M6+]]-('statistics-M6'!$F18/365)))</f>
        <v>2.1194931506849315</v>
      </c>
      <c r="R15" t="str">
        <f>IF(ISBLANK(NFFT_All[[#This Row],[M7+]]),"",ABS(NFFT_All[[#This Row],[M7+]]-('statistics-M7'!$F18/365)))</f>
        <v/>
      </c>
      <c r="S15" t="e">
        <f>IF(ISBLANK(NFFT_All[[#This Row],[M8+]]),"",ABS(NFFT_All[[#This Row],[M8+]]-('statistics-M8'!$F18/365)))</f>
        <v>#VALUE!</v>
      </c>
      <c r="U15">
        <f>IF(ISBLANK(NFFT_All[[#This Row],[M4+]]),"",ABS(NFFT_All[[#This Row],[M4+]]-('statistics-M4'!$J18/365)))</f>
        <v>3.8424520547945207</v>
      </c>
      <c r="V15">
        <f>IF(ISBLANK(NFFT_All[[#This Row],[M5+]]),"",ABS(NFFT_All[[#This Row],[M5+]]-('statistics-M5'!$J18/365)))</f>
        <v>1.5558767123287671</v>
      </c>
      <c r="W15">
        <f>IF(ISBLANK(NFFT_All[[#This Row],[M6+]]),"",ABS(NFFT_All[[#This Row],[M6+]]-('statistics-M6'!$J18/365)))</f>
        <v>1.6263424657534249</v>
      </c>
      <c r="X15" t="str">
        <f>IF(ISBLANK(NFFT_All[[#This Row],[M7+]]),"",ABS(NFFT_All[[#This Row],[M7+]]-('statistics-M7'!$J18/365)))</f>
        <v/>
      </c>
      <c r="Y15" t="e">
        <f>IF(ISBLANK(NFFT_All[[#This Row],[M8+]]),"",ABS(NFFT_All[[#This Row],[M8+]]-('statistics-M8'!$J18/365)))</f>
        <v>#VALUE!</v>
      </c>
    </row>
    <row r="16" spans="1:25" x14ac:dyDescent="0.35">
      <c r="A16" t="s">
        <v>14</v>
      </c>
      <c r="B16">
        <v>3</v>
      </c>
      <c r="C16">
        <v>2.9319999999999999</v>
      </c>
      <c r="D16">
        <v>16.280999999999999</v>
      </c>
      <c r="G16" t="s">
        <v>58</v>
      </c>
      <c r="H16" t="e">
        <f>VALUE(NFFT_All[[#This Row],[M8+]])</f>
        <v>#VALUE!</v>
      </c>
      <c r="I16">
        <f>IF(ISBLANK(NFFT_All[[#This Row],[M4+]]),"",ABS(NFFT_All[[#This Row],[M4+]]-('statistics-M4'!I19/365)))</f>
        <v>1.3967260273972602</v>
      </c>
      <c r="J16">
        <f>IF(ISBLANK(NFFT_All[[#This Row],[M5+]]),"",ABS(NFFT_All[[#This Row],[M5+]]-('statistics-M5'!$I19/365)))</f>
        <v>14.286479452054794</v>
      </c>
      <c r="K16" t="str">
        <f>IF(ISBLANK(NFFT_All[[#This Row],[M6+]]),"",ABS(NFFT_All[[#This Row],[M6+]]-('statistics-M6'!$I19/365)))</f>
        <v/>
      </c>
      <c r="L16" t="str">
        <f>IF(ISBLANK(NFFT_All[[#This Row],[M7+]]),"",ABS(NFFT_All[[#This Row],[M7+]]-('statistics-M7'!$I19/365)))</f>
        <v/>
      </c>
      <c r="M16" t="e">
        <f>IF(ISBLANK(NFFT_All[[#This Row],[M8+]]),"",ABS(NFFT_All[[#This Row],[M8+]]-('statistics-M8'!$I19/365)))</f>
        <v>#VALUE!</v>
      </c>
      <c r="O16">
        <f>IF(ISBLANK(NFFT_All[[#This Row],[M4+]]),"",ABS(NFFT_All[[#This Row],[M4+]]-('statistics-M4'!$F19/365)))</f>
        <v>2.3210410958904109</v>
      </c>
      <c r="P16">
        <f>IF(ISBLANK(NFFT_All[[#This Row],[M5+]]),"",ABS(NFFT_All[[#This Row],[M5+]]-('statistics-M5'!$F19/365)))</f>
        <v>15.67004109589041</v>
      </c>
      <c r="Q16" t="str">
        <f>IF(ISBLANK(NFFT_All[[#This Row],[M6+]]),"",ABS(NFFT_All[[#This Row],[M6+]]-('statistics-M6'!$F19/365)))</f>
        <v/>
      </c>
      <c r="R16" t="str">
        <f>IF(ISBLANK(NFFT_All[[#This Row],[M7+]]),"",ABS(NFFT_All[[#This Row],[M7+]]-('statistics-M7'!$F19/365)))</f>
        <v/>
      </c>
      <c r="S16" t="e">
        <f>IF(ISBLANK(NFFT_All[[#This Row],[M8+]]),"",ABS(NFFT_All[[#This Row],[M8+]]-('statistics-M8'!$F19/365)))</f>
        <v>#VALUE!</v>
      </c>
      <c r="U16">
        <f>IF(ISBLANK(NFFT_All[[#This Row],[M4+]]),"",ABS(NFFT_All[[#This Row],[M4+]]-('statistics-M4'!$J19/365)))</f>
        <v>1.968986301369863</v>
      </c>
      <c r="V16">
        <f>IF(ISBLANK(NFFT_All[[#This Row],[M5+]]),"",ABS(NFFT_All[[#This Row],[M5+]]-('statistics-M5'!$J19/365)))</f>
        <v>15.138534246575341</v>
      </c>
      <c r="W16" t="str">
        <f>IF(ISBLANK(NFFT_All[[#This Row],[M6+]]),"",ABS(NFFT_All[[#This Row],[M6+]]-('statistics-M6'!$J19/365)))</f>
        <v/>
      </c>
      <c r="X16" t="str">
        <f>IF(ISBLANK(NFFT_All[[#This Row],[M7+]]),"",ABS(NFFT_All[[#This Row],[M7+]]-('statistics-M7'!$J19/365)))</f>
        <v/>
      </c>
      <c r="Y16" t="e">
        <f>IF(ISBLANK(NFFT_All[[#This Row],[M8+]]),"",ABS(NFFT_All[[#This Row],[M8+]]-('statistics-M8'!$J19/365)))</f>
        <v>#VALUE!</v>
      </c>
    </row>
    <row r="17" spans="1:25" x14ac:dyDescent="0.35">
      <c r="A17" t="s">
        <v>15</v>
      </c>
      <c r="B17">
        <v>1</v>
      </c>
      <c r="C17">
        <v>3.7229999999999999</v>
      </c>
      <c r="D17">
        <v>18.98</v>
      </c>
      <c r="E17">
        <v>7.1180000000000003</v>
      </c>
      <c r="G17" t="s">
        <v>57</v>
      </c>
      <c r="H17" t="e">
        <f>VALUE(NFFT_All[[#This Row],[M8+]])</f>
        <v>#VALUE!</v>
      </c>
      <c r="I17">
        <f>IF(ISBLANK(NFFT_All[[#This Row],[M4+]]),"",ABS(NFFT_All[[#This Row],[M4+]]-('statistics-M4'!I20/365)))</f>
        <v>2.5448339390550743</v>
      </c>
      <c r="J17">
        <f>IF(ISBLANK(NFFT_All[[#This Row],[M5+]]),"",ABS(NFFT_All[[#This Row],[M5+]]-('statistics-M5'!$I20/365)))</f>
        <v>17.727945205479454</v>
      </c>
      <c r="K17">
        <f>IF(ISBLANK(NFFT_All[[#This Row],[M6+]]),"",ABS(NFFT_All[[#This Row],[M6+]]-('statistics-M6'!$I20/365)))</f>
        <v>5.2190502283105022</v>
      </c>
      <c r="L17" t="str">
        <f>IF(ISBLANK(NFFT_All[[#This Row],[M7+]]),"",ABS(NFFT_All[[#This Row],[M7+]]-('statistics-M7'!$I20/365)))</f>
        <v/>
      </c>
      <c r="M17" t="e">
        <f>IF(ISBLANK(NFFT_All[[#This Row],[M8+]]),"",ABS(NFFT_All[[#This Row],[M8+]]-('statistics-M8'!$I20/365)))</f>
        <v>#VALUE!</v>
      </c>
      <c r="O17">
        <f>IF(ISBLANK(NFFT_All[[#This Row],[M4+]]),"",ABS(NFFT_All[[#This Row],[M4+]]-('statistics-M4'!$F20/365)))</f>
        <v>2.8846438356164383</v>
      </c>
      <c r="P17">
        <f>IF(ISBLANK(NFFT_All[[#This Row],[M5+]]),"",ABS(NFFT_All[[#This Row],[M5+]]-('statistics-M5'!$F20/365)))</f>
        <v>18.141643835616438</v>
      </c>
      <c r="Q17">
        <f>IF(ISBLANK(NFFT_All[[#This Row],[M6+]]),"",ABS(NFFT_All[[#This Row],[M6+]]-('statistics-M6'!$F20/365)))</f>
        <v>6.4796438356164385</v>
      </c>
      <c r="R17" t="str">
        <f>IF(ISBLANK(NFFT_All[[#This Row],[M7+]]),"",ABS(NFFT_All[[#This Row],[M7+]]-('statistics-M7'!$F20/365)))</f>
        <v/>
      </c>
      <c r="S17" t="e">
        <f>IF(ISBLANK(NFFT_All[[#This Row],[M8+]]),"",ABS(NFFT_All[[#This Row],[M8+]]-('statistics-M8'!$F20/365)))</f>
        <v>#VALUE!</v>
      </c>
      <c r="U17">
        <f>IF(ISBLANK(NFFT_All[[#This Row],[M4+]]),"",ABS(NFFT_All[[#This Row],[M4+]]-('statistics-M4'!$J20/365)))</f>
        <v>2.8093013698630136</v>
      </c>
      <c r="V17">
        <f>IF(ISBLANK(NFFT_All[[#This Row],[M5+]]),"",ABS(NFFT_All[[#This Row],[M5+]]-('statistics-M5'!$J20/365)))</f>
        <v>18.007397260273972</v>
      </c>
      <c r="W17">
        <f>IF(ISBLANK(NFFT_All[[#This Row],[M6+]]),"",ABS(NFFT_All[[#This Row],[M6+]]-('statistics-M6'!$J20/365)))</f>
        <v>5.7001917808219185</v>
      </c>
      <c r="X17" t="str">
        <f>IF(ISBLANK(NFFT_All[[#This Row],[M7+]]),"",ABS(NFFT_All[[#This Row],[M7+]]-('statistics-M7'!$J20/365)))</f>
        <v/>
      </c>
      <c r="Y17" t="e">
        <f>IF(ISBLANK(NFFT_All[[#This Row],[M8+]]),"",ABS(NFFT_All[[#This Row],[M8+]]-('statistics-M8'!$J20/365)))</f>
        <v>#VALUE!</v>
      </c>
    </row>
    <row r="18" spans="1:25" x14ac:dyDescent="0.35">
      <c r="A18" t="s">
        <v>15</v>
      </c>
      <c r="B18">
        <v>2</v>
      </c>
      <c r="C18">
        <v>2.4710000000000001</v>
      </c>
      <c r="D18">
        <v>14.102</v>
      </c>
      <c r="G18" t="s">
        <v>58</v>
      </c>
      <c r="H18" t="e">
        <f>VALUE(NFFT_All[[#This Row],[M8+]])</f>
        <v>#VALUE!</v>
      </c>
      <c r="I18">
        <f>IF(ISBLANK(NFFT_All[[#This Row],[M4+]]),"",ABS(NFFT_All[[#This Row],[M4+]]-('statistics-M4'!I21/365)))</f>
        <v>0.64384097677188801</v>
      </c>
      <c r="J18">
        <f>IF(ISBLANK(NFFT_All[[#This Row],[M5+]]),"",ABS(NFFT_All[[#This Row],[M5+]]-('statistics-M5'!$I21/365)))</f>
        <v>9.5372941176470594</v>
      </c>
      <c r="K18" t="str">
        <f>IF(ISBLANK(NFFT_All[[#This Row],[M6+]]),"",ABS(NFFT_All[[#This Row],[M6+]]-('statistics-M6'!$I21/365)))</f>
        <v/>
      </c>
      <c r="L18" t="str">
        <f>IF(ISBLANK(NFFT_All[[#This Row],[M7+]]),"",ABS(NFFT_All[[#This Row],[M7+]]-('statistics-M7'!$I21/365)))</f>
        <v/>
      </c>
      <c r="M18" t="e">
        <f>IF(ISBLANK(NFFT_All[[#This Row],[M8+]]),"",ABS(NFFT_All[[#This Row],[M8+]]-('statistics-M8'!$I21/365)))</f>
        <v>#VALUE!</v>
      </c>
      <c r="O18">
        <f>IF(ISBLANK(NFFT_All[[#This Row],[M4+]]),"",ABS(NFFT_All[[#This Row],[M4+]]-('statistics-M4'!$F21/365)))</f>
        <v>1.5312739726027398</v>
      </c>
      <c r="P18">
        <f>IF(ISBLANK(NFFT_All[[#This Row],[M5+]]),"",ABS(NFFT_All[[#This Row],[M5+]]-('statistics-M5'!$F21/365)))</f>
        <v>13.447205479452055</v>
      </c>
      <c r="Q18" t="str">
        <f>IF(ISBLANK(NFFT_All[[#This Row],[M6+]]),"",ABS(NFFT_All[[#This Row],[M6+]]-('statistics-M6'!$F21/365)))</f>
        <v/>
      </c>
      <c r="R18" t="str">
        <f>IF(ISBLANK(NFFT_All[[#This Row],[M7+]]),"",ABS(NFFT_All[[#This Row],[M7+]]-('statistics-M7'!$F21/365)))</f>
        <v/>
      </c>
      <c r="S18" t="e">
        <f>IF(ISBLANK(NFFT_All[[#This Row],[M8+]]),"",ABS(NFFT_All[[#This Row],[M8+]]-('statistics-M8'!$F21/365)))</f>
        <v>#VALUE!</v>
      </c>
      <c r="U18">
        <f>IF(ISBLANK(NFFT_All[[#This Row],[M4+]]),"",ABS(NFFT_All[[#This Row],[M4+]]-('statistics-M4'!$J21/365)))</f>
        <v>1.371</v>
      </c>
      <c r="V18">
        <f>IF(ISBLANK(NFFT_All[[#This Row],[M5+]]),"",ABS(NFFT_All[[#This Row],[M5+]]-('statistics-M5'!$J21/365)))</f>
        <v>11.186931506849316</v>
      </c>
      <c r="W18" t="str">
        <f>IF(ISBLANK(NFFT_All[[#This Row],[M6+]]),"",ABS(NFFT_All[[#This Row],[M6+]]-('statistics-M6'!$J21/365)))</f>
        <v/>
      </c>
      <c r="X18" t="str">
        <f>IF(ISBLANK(NFFT_All[[#This Row],[M7+]]),"",ABS(NFFT_All[[#This Row],[M7+]]-('statistics-M7'!$J21/365)))</f>
        <v/>
      </c>
      <c r="Y18" t="e">
        <f>IF(ISBLANK(NFFT_All[[#This Row],[M8+]]),"",ABS(NFFT_All[[#This Row],[M8+]]-('statistics-M8'!$J21/365)))</f>
        <v>#VALUE!</v>
      </c>
    </row>
    <row r="19" spans="1:25" x14ac:dyDescent="0.35">
      <c r="A19" t="s">
        <v>15</v>
      </c>
      <c r="B19">
        <v>3</v>
      </c>
      <c r="C19">
        <v>8.0730000000000004</v>
      </c>
      <c r="G19" t="s">
        <v>58</v>
      </c>
      <c r="H19" t="e">
        <f>VALUE(NFFT_All[[#This Row],[M8+]])</f>
        <v>#VALUE!</v>
      </c>
      <c r="I19">
        <f>IF(ISBLANK(NFFT_All[[#This Row],[M4+]]),"",ABS(NFFT_All[[#This Row],[M4+]]-('statistics-M4'!I22/365)))</f>
        <v>5.5223150684931515</v>
      </c>
      <c r="J19" t="str">
        <f>IF(ISBLANK(NFFT_All[[#This Row],[M5+]]),"",ABS(NFFT_All[[#This Row],[M5+]]-('statistics-M5'!$I22/365)))</f>
        <v/>
      </c>
      <c r="K19" t="str">
        <f>IF(ISBLANK(NFFT_All[[#This Row],[M6+]]),"",ABS(NFFT_All[[#This Row],[M6+]]-('statistics-M6'!$I22/365)))</f>
        <v/>
      </c>
      <c r="L19" t="str">
        <f>IF(ISBLANK(NFFT_All[[#This Row],[M7+]]),"",ABS(NFFT_All[[#This Row],[M7+]]-('statistics-M7'!$I22/365)))</f>
        <v/>
      </c>
      <c r="M19" t="e">
        <f>IF(ISBLANK(NFFT_All[[#This Row],[M8+]]),"",ABS(NFFT_All[[#This Row],[M8+]]-('statistics-M8'!$I22/365)))</f>
        <v>#VALUE!</v>
      </c>
      <c r="O19">
        <f>IF(ISBLANK(NFFT_All[[#This Row],[M4+]]),"",ABS(NFFT_All[[#This Row],[M4+]]-('statistics-M4'!$F22/365)))</f>
        <v>7.4045068493150685</v>
      </c>
      <c r="P19" t="str">
        <f>IF(ISBLANK(NFFT_All[[#This Row],[M5+]]),"",ABS(NFFT_All[[#This Row],[M5+]]-('statistics-M5'!$F22/365)))</f>
        <v/>
      </c>
      <c r="Q19" t="str">
        <f>IF(ISBLANK(NFFT_All[[#This Row],[M6+]]),"",ABS(NFFT_All[[#This Row],[M6+]]-('statistics-M6'!$F22/365)))</f>
        <v/>
      </c>
      <c r="R19" t="str">
        <f>IF(ISBLANK(NFFT_All[[#This Row],[M7+]]),"",ABS(NFFT_All[[#This Row],[M7+]]-('statistics-M7'!$F22/365)))</f>
        <v/>
      </c>
      <c r="S19" t="e">
        <f>IF(ISBLANK(NFFT_All[[#This Row],[M8+]]),"",ABS(NFFT_All[[#This Row],[M8+]]-('statistics-M8'!$F22/365)))</f>
        <v>#VALUE!</v>
      </c>
      <c r="U19">
        <f>IF(ISBLANK(NFFT_All[[#This Row],[M4+]]),"",ABS(NFFT_All[[#This Row],[M4+]]-('statistics-M4'!$J22/365)))</f>
        <v>6.3661506849315073</v>
      </c>
      <c r="V19" t="str">
        <f>IF(ISBLANK(NFFT_All[[#This Row],[M5+]]),"",ABS(NFFT_All[[#This Row],[M5+]]-('statistics-M5'!$J22/365)))</f>
        <v/>
      </c>
      <c r="W19" t="str">
        <f>IF(ISBLANK(NFFT_All[[#This Row],[M6+]]),"",ABS(NFFT_All[[#This Row],[M6+]]-('statistics-M6'!$J22/365)))</f>
        <v/>
      </c>
      <c r="X19" t="str">
        <f>IF(ISBLANK(NFFT_All[[#This Row],[M7+]]),"",ABS(NFFT_All[[#This Row],[M7+]]-('statistics-M7'!$J22/365)))</f>
        <v/>
      </c>
      <c r="Y19" t="e">
        <f>IF(ISBLANK(NFFT_All[[#This Row],[M8+]]),"",ABS(NFFT_All[[#This Row],[M8+]]-('statistics-M8'!$J22/365)))</f>
        <v>#VALUE!</v>
      </c>
    </row>
    <row r="20" spans="1:25" x14ac:dyDescent="0.35">
      <c r="A20" t="s">
        <v>16</v>
      </c>
      <c r="B20">
        <v>1</v>
      </c>
      <c r="C20">
        <v>4.0720000000000001</v>
      </c>
      <c r="D20">
        <v>4.0720000000000001</v>
      </c>
      <c r="E20">
        <v>5.4349999999999996</v>
      </c>
      <c r="G20" t="s">
        <v>57</v>
      </c>
      <c r="H20" t="e">
        <f>VALUE(NFFT_All[[#This Row],[M8+]])</f>
        <v>#VALUE!</v>
      </c>
      <c r="I20">
        <f>IF(ISBLANK(NFFT_All[[#This Row],[M4+]]),"",ABS(NFFT_All[[#This Row],[M4+]]-('statistics-M4'!I23/365)))</f>
        <v>2.8168457174484574</v>
      </c>
      <c r="J20">
        <f>IF(ISBLANK(NFFT_All[[#This Row],[M5+]]),"",ABS(NFFT_All[[#This Row],[M5+]]-('statistics-M5'!$I23/365)))</f>
        <v>2.8168457174484574</v>
      </c>
      <c r="K20">
        <f>IF(ISBLANK(NFFT_All[[#This Row],[M6+]]),"",ABS(NFFT_All[[#This Row],[M6+]]-('statistics-M6'!$I23/365)))</f>
        <v>2.9382708974000553</v>
      </c>
      <c r="L20" t="str">
        <f>IF(ISBLANK(NFFT_All[[#This Row],[M7+]]),"",ABS(NFFT_All[[#This Row],[M7+]]-('statistics-M7'!$I23/365)))</f>
        <v/>
      </c>
      <c r="M20" t="e">
        <f>IF(ISBLANK(NFFT_All[[#This Row],[M8+]]),"",ABS(NFFT_All[[#This Row],[M8+]]-('statistics-M8'!$I23/365)))</f>
        <v>#VALUE!</v>
      </c>
      <c r="O20">
        <f>IF(ISBLANK(NFFT_All[[#This Row],[M4+]]),"",ABS(NFFT_All[[#This Row],[M4+]]-('statistics-M4'!$F23/365)))</f>
        <v>3.567890410958904</v>
      </c>
      <c r="P20">
        <f>IF(ISBLANK(NFFT_All[[#This Row],[M5+]]),"",ABS(NFFT_All[[#This Row],[M5+]]-('statistics-M5'!$F23/365)))</f>
        <v>3.567890410958904</v>
      </c>
      <c r="Q20">
        <f>IF(ISBLANK(NFFT_All[[#This Row],[M6+]]),"",ABS(NFFT_All[[#This Row],[M6+]]-('statistics-M6'!$F23/365)))</f>
        <v>4.5610273972602737</v>
      </c>
      <c r="R20" t="str">
        <f>IF(ISBLANK(NFFT_All[[#This Row],[M7+]]),"",ABS(NFFT_All[[#This Row],[M7+]]-('statistics-M7'!$F23/365)))</f>
        <v/>
      </c>
      <c r="S20" t="e">
        <f>IF(ISBLANK(NFFT_All[[#This Row],[M8+]]),"",ABS(NFFT_All[[#This Row],[M8+]]-('statistics-M8'!$F23/365)))</f>
        <v>#VALUE!</v>
      </c>
      <c r="U20">
        <f>IF(ISBLANK(NFFT_All[[#This Row],[M4+]]),"",ABS(NFFT_All[[#This Row],[M4+]]-('statistics-M4'!$J23/365)))</f>
        <v>3.1815890410958905</v>
      </c>
      <c r="V20">
        <f>IF(ISBLANK(NFFT_All[[#This Row],[M5+]]),"",ABS(NFFT_All[[#This Row],[M5+]]-('statistics-M5'!$J23/365)))</f>
        <v>3.1815890410958905</v>
      </c>
      <c r="W20">
        <f>IF(ISBLANK(NFFT_All[[#This Row],[M6+]]),"",ABS(NFFT_All[[#This Row],[M6+]]-('statistics-M6'!$J23/365)))</f>
        <v>3.7774657534246572</v>
      </c>
      <c r="X20" t="str">
        <f>IF(ISBLANK(NFFT_All[[#This Row],[M7+]]),"",ABS(NFFT_All[[#This Row],[M7+]]-('statistics-M7'!$J23/365)))</f>
        <v/>
      </c>
      <c r="Y20" t="e">
        <f>IF(ISBLANK(NFFT_All[[#This Row],[M8+]]),"",ABS(NFFT_All[[#This Row],[M8+]]-('statistics-M8'!$J23/365)))</f>
        <v>#VALUE!</v>
      </c>
    </row>
    <row r="21" spans="1:25" x14ac:dyDescent="0.35">
      <c r="A21" t="s">
        <v>16</v>
      </c>
      <c r="B21">
        <v>2</v>
      </c>
      <c r="C21">
        <v>16.254999999999999</v>
      </c>
      <c r="G21" t="s">
        <v>58</v>
      </c>
      <c r="H21" t="e">
        <f>VALUE(NFFT_All[[#This Row],[M8+]])</f>
        <v>#VALUE!</v>
      </c>
      <c r="I21">
        <f>IF(ISBLANK(NFFT_All[[#This Row],[M4+]]),"",ABS(NFFT_All[[#This Row],[M4+]]-('statistics-M4'!I24/365)))</f>
        <v>10.263363374188895</v>
      </c>
      <c r="J21" t="str">
        <f>IF(ISBLANK(NFFT_All[[#This Row],[M5+]]),"",ABS(NFFT_All[[#This Row],[M5+]]-('statistics-M5'!$I24/365)))</f>
        <v/>
      </c>
      <c r="K21" t="str">
        <f>IF(ISBLANK(NFFT_All[[#This Row],[M6+]]),"",ABS(NFFT_All[[#This Row],[M6+]]-('statistics-M6'!$I24/365)))</f>
        <v/>
      </c>
      <c r="L21" t="str">
        <f>IF(ISBLANK(NFFT_All[[#This Row],[M7+]]),"",ABS(NFFT_All[[#This Row],[M7+]]-('statistics-M7'!$I24/365)))</f>
        <v/>
      </c>
      <c r="M21" t="e">
        <f>IF(ISBLANK(NFFT_All[[#This Row],[M8+]]),"",ABS(NFFT_All[[#This Row],[M8+]]-('statistics-M8'!$I24/365)))</f>
        <v>#VALUE!</v>
      </c>
      <c r="O21">
        <f>IF(ISBLANK(NFFT_All[[#This Row],[M4+]]),"",ABS(NFFT_All[[#This Row],[M4+]]-('statistics-M4'!$F24/365)))</f>
        <v>15.676917808219176</v>
      </c>
      <c r="P21" t="str">
        <f>IF(ISBLANK(NFFT_All[[#This Row],[M5+]]),"",ABS(NFFT_All[[#This Row],[M5+]]-('statistics-M5'!$F24/365)))</f>
        <v/>
      </c>
      <c r="Q21" t="str">
        <f>IF(ISBLANK(NFFT_All[[#This Row],[M6+]]),"",ABS(NFFT_All[[#This Row],[M6+]]-('statistics-M6'!$F24/365)))</f>
        <v/>
      </c>
      <c r="R21" t="str">
        <f>IF(ISBLANK(NFFT_All[[#This Row],[M7+]]),"",ABS(NFFT_All[[#This Row],[M7+]]-('statistics-M7'!$F24/365)))</f>
        <v/>
      </c>
      <c r="S21" t="e">
        <f>IF(ISBLANK(NFFT_All[[#This Row],[M8+]]),"",ABS(NFFT_All[[#This Row],[M8+]]-('statistics-M8'!$F24/365)))</f>
        <v>#VALUE!</v>
      </c>
      <c r="U21">
        <f>IF(ISBLANK(NFFT_All[[#This Row],[M4+]]),"",ABS(NFFT_All[[#This Row],[M4+]]-('statistics-M4'!$J24/365)))</f>
        <v>14.101575342465752</v>
      </c>
      <c r="V21" t="str">
        <f>IF(ISBLANK(NFFT_All[[#This Row],[M5+]]),"",ABS(NFFT_All[[#This Row],[M5+]]-('statistics-M5'!$J24/365)))</f>
        <v/>
      </c>
      <c r="W21" t="str">
        <f>IF(ISBLANK(NFFT_All[[#This Row],[M6+]]),"",ABS(NFFT_All[[#This Row],[M6+]]-('statistics-M6'!$J24/365)))</f>
        <v/>
      </c>
      <c r="X21" t="str">
        <f>IF(ISBLANK(NFFT_All[[#This Row],[M7+]]),"",ABS(NFFT_All[[#This Row],[M7+]]-('statistics-M7'!$J24/365)))</f>
        <v/>
      </c>
      <c r="Y21" t="e">
        <f>IF(ISBLANK(NFFT_All[[#This Row],[M8+]]),"",ABS(NFFT_All[[#This Row],[M8+]]-('statistics-M8'!$J24/365)))</f>
        <v>#VALUE!</v>
      </c>
    </row>
    <row r="22" spans="1:25" x14ac:dyDescent="0.35">
      <c r="A22" t="s">
        <v>17</v>
      </c>
      <c r="B22">
        <v>1</v>
      </c>
      <c r="C22">
        <v>2.141</v>
      </c>
      <c r="D22">
        <v>2.141</v>
      </c>
      <c r="E22">
        <v>2.141</v>
      </c>
      <c r="F22">
        <v>4.8760000000000003</v>
      </c>
      <c r="G22" t="s">
        <v>57</v>
      </c>
      <c r="H22" t="e">
        <f>VALUE(NFFT_All[[#This Row],[M8+]])</f>
        <v>#VALUE!</v>
      </c>
      <c r="I22">
        <f>IF(ISBLANK(NFFT_All[[#This Row],[M4+]]),"",ABS(NFFT_All[[#This Row],[M4+]]-('statistics-M4'!I26/365)))</f>
        <v>1.300124758665073</v>
      </c>
      <c r="J22">
        <f>IF(ISBLANK(NFFT_All[[#This Row],[M5+]]),"",ABS(NFFT_All[[#This Row],[M5+]]-('statistics-M5'!$I26/365)))</f>
        <v>1.300124758665073</v>
      </c>
      <c r="K22">
        <f>IF(ISBLANK(NFFT_All[[#This Row],[M6+]]),"",ABS(NFFT_All[[#This Row],[M6+]]-('statistics-M6'!$I26/365)))</f>
        <v>1.2769282002834199</v>
      </c>
      <c r="L22">
        <f>IF(ISBLANK(NFFT_All[[#This Row],[M7+]]),"",ABS(NFFT_All[[#This Row],[M7+]]-('statistics-M7'!$I26/365)))</f>
        <v>2.6141818181818182</v>
      </c>
      <c r="M22" t="e">
        <f>IF(ISBLANK(NFFT_All[[#This Row],[M8+]]),"",ABS(NFFT_All[[#This Row],[M8+]]-('statistics-M8'!$I26/365)))</f>
        <v>#VALUE!</v>
      </c>
      <c r="O22">
        <f>IF(ISBLANK(NFFT_All[[#This Row],[M4+]]),"",ABS(NFFT_All[[#This Row],[M4+]]-('statistics-M4'!$F26/365)))</f>
        <v>1.6286712328767123</v>
      </c>
      <c r="P22">
        <f>IF(ISBLANK(NFFT_All[[#This Row],[M5+]]),"",ABS(NFFT_All[[#This Row],[M5+]]-('statistics-M5'!$F26/365)))</f>
        <v>1.6286712328767123</v>
      </c>
      <c r="Q22">
        <f>IF(ISBLANK(NFFT_All[[#This Row],[M6+]]),"",ABS(NFFT_All[[#This Row],[M6+]]-('statistics-M6'!$F26/365)))</f>
        <v>1.6286712328767123</v>
      </c>
      <c r="R22">
        <f>IF(ISBLANK(NFFT_All[[#This Row],[M7+]]),"",ABS(NFFT_All[[#This Row],[M7+]]-('statistics-M7'!$F26/365)))</f>
        <v>3.6513424657534248</v>
      </c>
      <c r="S22" t="e">
        <f>IF(ISBLANK(NFFT_All[[#This Row],[M8+]]),"",ABS(NFFT_All[[#This Row],[M8+]]-('statistics-M8'!$F26/365)))</f>
        <v>#VALUE!</v>
      </c>
      <c r="U22">
        <f>IF(ISBLANK(NFFT_All[[#This Row],[M4+]]),"",ABS(NFFT_All[[#This Row],[M4+]]-('statistics-M4'!$J26/365)))</f>
        <v>1.3820958904109588</v>
      </c>
      <c r="V22">
        <f>IF(ISBLANK(NFFT_All[[#This Row],[M5+]]),"",ABS(NFFT_All[[#This Row],[M5+]]-('statistics-M5'!$J26/365)))</f>
        <v>1.3820958904109588</v>
      </c>
      <c r="W22">
        <f>IF(ISBLANK(NFFT_All[[#This Row],[M6+]]),"",ABS(NFFT_All[[#This Row],[M6+]]-('statistics-M6'!$J26/365)))</f>
        <v>1.3601780821917808</v>
      </c>
      <c r="X22">
        <f>IF(ISBLANK(NFFT_All[[#This Row],[M7+]]),"",ABS(NFFT_All[[#This Row],[M7+]]-('statistics-M7'!$J26/365)))</f>
        <v>3.1910684931506852</v>
      </c>
      <c r="Y22" t="e">
        <f>IF(ISBLANK(NFFT_All[[#This Row],[M8+]]),"",ABS(NFFT_All[[#This Row],[M8+]]-('statistics-M8'!$J26/365)))</f>
        <v>#VALUE!</v>
      </c>
    </row>
    <row r="23" spans="1:25" x14ac:dyDescent="0.35">
      <c r="A23" t="s">
        <v>17</v>
      </c>
      <c r="B23">
        <v>2</v>
      </c>
      <c r="C23">
        <v>2.399</v>
      </c>
      <c r="D23">
        <v>4.13</v>
      </c>
      <c r="E23">
        <v>12.455</v>
      </c>
      <c r="G23" t="s">
        <v>58</v>
      </c>
      <c r="H23" t="e">
        <f>VALUE(NFFT_All[[#This Row],[M8+]])</f>
        <v>#VALUE!</v>
      </c>
      <c r="I23">
        <f>IF(ISBLANK(NFFT_All[[#This Row],[M4+]]),"",ABS(NFFT_All[[#This Row],[M4+]]-('statistics-M4'!I27/365)))</f>
        <v>0.74067267483777943</v>
      </c>
      <c r="J23">
        <f>IF(ISBLANK(NFFT_All[[#This Row],[M5+]]),"",ABS(NFFT_All[[#This Row],[M5+]]-('statistics-M5'!$I27/365)))</f>
        <v>2.1910326659641726</v>
      </c>
      <c r="K23">
        <f>IF(ISBLANK(NFFT_All[[#This Row],[M6+]]),"",ABS(NFFT_All[[#This Row],[M6+]]-('statistics-M6'!$I27/365)))</f>
        <v>2.0709817351598172</v>
      </c>
      <c r="L23" t="str">
        <f>IF(ISBLANK(NFFT_All[[#This Row],[M7+]]),"",ABS(NFFT_All[[#This Row],[M7+]]-('statistics-M7'!$I27/365)))</f>
        <v/>
      </c>
      <c r="M23" t="e">
        <f>IF(ISBLANK(NFFT_All[[#This Row],[M8+]]),"",ABS(NFFT_All[[#This Row],[M8+]]-('statistics-M8'!$I27/365)))</f>
        <v>#VALUE!</v>
      </c>
      <c r="O23">
        <f>IF(ISBLANK(NFFT_All[[#This Row],[M4+]]),"",ABS(NFFT_All[[#This Row],[M4+]]-('statistics-M4'!$F27/365)))</f>
        <v>1.7003698630136985</v>
      </c>
      <c r="P23">
        <f>IF(ISBLANK(NFFT_All[[#This Row],[M5+]]),"",ABS(NFFT_All[[#This Row],[M5+]]-('statistics-M5'!$F27/365)))</f>
        <v>3.6176712328767122</v>
      </c>
      <c r="Q23">
        <f>IF(ISBLANK(NFFT_All[[#This Row],[M6+]]),"",ABS(NFFT_All[[#This Row],[M6+]]-('statistics-M6'!$F27/365)))</f>
        <v>10.731712328767124</v>
      </c>
      <c r="R23" t="str">
        <f>IF(ISBLANK(NFFT_All[[#This Row],[M7+]]),"",ABS(NFFT_All[[#This Row],[M7+]]-('statistics-M7'!$F27/365)))</f>
        <v/>
      </c>
      <c r="S23" t="e">
        <f>IF(ISBLANK(NFFT_All[[#This Row],[M8+]]),"",ABS(NFFT_All[[#This Row],[M8+]]-('statistics-M8'!$F27/365)))</f>
        <v>#VALUE!</v>
      </c>
      <c r="U23">
        <f>IF(ISBLANK(NFFT_All[[#This Row],[M4+]]),"",ABS(NFFT_All[[#This Row],[M4+]]-('statistics-M4'!$J27/365)))</f>
        <v>1.6962602739726027</v>
      </c>
      <c r="V23">
        <f>IF(ISBLANK(NFFT_All[[#This Row],[M5+]]),"",ABS(NFFT_All[[#This Row],[M5+]]-('statistics-M5'!$J27/365)))</f>
        <v>3.3272602739726027</v>
      </c>
      <c r="W23">
        <f>IF(ISBLANK(NFFT_All[[#This Row],[M6+]]),"",ABS(NFFT_All[[#This Row],[M6+]]-('statistics-M6'!$J27/365)))</f>
        <v>6.6454109589041099</v>
      </c>
      <c r="X23" t="str">
        <f>IF(ISBLANK(NFFT_All[[#This Row],[M7+]]),"",ABS(NFFT_All[[#This Row],[M7+]]-('statistics-M7'!$J27/365)))</f>
        <v/>
      </c>
      <c r="Y23" t="e">
        <f>IF(ISBLANK(NFFT_All[[#This Row],[M8+]]),"",ABS(NFFT_All[[#This Row],[M8+]]-('statistics-M8'!$J27/365)))</f>
        <v>#VALUE!</v>
      </c>
    </row>
    <row r="24" spans="1:25" x14ac:dyDescent="0.35">
      <c r="A24" t="s">
        <v>17</v>
      </c>
      <c r="B24">
        <v>3</v>
      </c>
      <c r="C24">
        <v>4.2699999999999996</v>
      </c>
      <c r="D24">
        <v>5.3140000000000001</v>
      </c>
      <c r="G24" t="s">
        <v>58</v>
      </c>
      <c r="H24" t="e">
        <f>VALUE(NFFT_All[[#This Row],[M8+]])</f>
        <v>#VALUE!</v>
      </c>
      <c r="I24">
        <f>IF(ISBLANK(NFFT_All[[#This Row],[M4+]]),"",ABS(NFFT_All[[#This Row],[M4+]]-('statistics-M4'!I28/365)))</f>
        <v>2.3088502133393214</v>
      </c>
      <c r="J24">
        <f>IF(ISBLANK(NFFT_All[[#This Row],[M5+]]),"",ABS(NFFT_All[[#This Row],[M5+]]-('statistics-M5'!$I28/365)))</f>
        <v>2.0807530544242869</v>
      </c>
      <c r="K24" t="str">
        <f>IF(ISBLANK(NFFT_All[[#This Row],[M6+]]),"",ABS(NFFT_All[[#This Row],[M6+]]-('statistics-M6'!$I28/365)))</f>
        <v/>
      </c>
      <c r="L24" t="str">
        <f>IF(ISBLANK(NFFT_All[[#This Row],[M7+]]),"",ABS(NFFT_All[[#This Row],[M7+]]-('statistics-M7'!$I28/365)))</f>
        <v/>
      </c>
      <c r="M24" t="e">
        <f>IF(ISBLANK(NFFT_All[[#This Row],[M8+]]),"",ABS(NFFT_All[[#This Row],[M8+]]-('statistics-M8'!$I28/365)))</f>
        <v>#VALUE!</v>
      </c>
      <c r="O24">
        <f>IF(ISBLANK(NFFT_All[[#This Row],[M4+]]),"",ABS(NFFT_All[[#This Row],[M4+]]-('statistics-M4'!$F28/365)))</f>
        <v>2.9987671232876707</v>
      </c>
      <c r="P24">
        <f>IF(ISBLANK(NFFT_All[[#This Row],[M5+]]),"",ABS(NFFT_All[[#This Row],[M5+]]-('statistics-M5'!$F28/365)))</f>
        <v>4.7879726027397265</v>
      </c>
      <c r="Q24" t="str">
        <f>IF(ISBLANK(NFFT_All[[#This Row],[M6+]]),"",ABS(NFFT_All[[#This Row],[M6+]]-('statistics-M6'!$F28/365)))</f>
        <v/>
      </c>
      <c r="R24" t="str">
        <f>IF(ISBLANK(NFFT_All[[#This Row],[M7+]]),"",ABS(NFFT_All[[#This Row],[M7+]]-('statistics-M7'!$F28/365)))</f>
        <v/>
      </c>
      <c r="S24" t="e">
        <f>IF(ISBLANK(NFFT_All[[#This Row],[M8+]]),"",ABS(NFFT_All[[#This Row],[M8+]]-('statistics-M8'!$F28/365)))</f>
        <v>#VALUE!</v>
      </c>
      <c r="U24">
        <f>IF(ISBLANK(NFFT_All[[#This Row],[M4+]]),"",ABS(NFFT_All[[#This Row],[M4+]]-('statistics-M4'!$J28/365)))</f>
        <v>3.3384931506849309</v>
      </c>
      <c r="V24">
        <f>IF(ISBLANK(NFFT_All[[#This Row],[M5+]]),"",ABS(NFFT_All[[#This Row],[M5+]]-('statistics-M5'!$J28/365)))</f>
        <v>4.0427671232876712</v>
      </c>
      <c r="W24" t="str">
        <f>IF(ISBLANK(NFFT_All[[#This Row],[M6+]]),"",ABS(NFFT_All[[#This Row],[M6+]]-('statistics-M6'!$J28/365)))</f>
        <v/>
      </c>
      <c r="X24" t="str">
        <f>IF(ISBLANK(NFFT_All[[#This Row],[M7+]]),"",ABS(NFFT_All[[#This Row],[M7+]]-('statistics-M7'!$J28/365)))</f>
        <v/>
      </c>
      <c r="Y24" t="e">
        <f>IF(ISBLANK(NFFT_All[[#This Row],[M8+]]),"",ABS(NFFT_All[[#This Row],[M8+]]-('statistics-M8'!$J28/365)))</f>
        <v>#VALUE!</v>
      </c>
    </row>
    <row r="25" spans="1:25" x14ac:dyDescent="0.35">
      <c r="A25" t="s">
        <v>18</v>
      </c>
      <c r="B25">
        <v>1</v>
      </c>
      <c r="C25">
        <v>5.2469999999999999</v>
      </c>
      <c r="D25">
        <v>5.2469999999999999</v>
      </c>
      <c r="E25">
        <v>5.28</v>
      </c>
      <c r="G25" t="s">
        <v>57</v>
      </c>
      <c r="H25" t="e">
        <f>VALUE(NFFT_All[[#This Row],[M8+]])</f>
        <v>#VALUE!</v>
      </c>
      <c r="I25">
        <f>IF(ISBLANK(NFFT_All[[#This Row],[M4+]]),"",ABS(NFFT_All[[#This Row],[M4+]]-('statistics-M4'!I29/365)))</f>
        <v>4.0255162077851621</v>
      </c>
      <c r="J25">
        <f>IF(ISBLANK(NFFT_All[[#This Row],[M5+]]),"",ABS(NFFT_All[[#This Row],[M5+]]-('statistics-M5'!$I29/365)))</f>
        <v>4.0255162077851621</v>
      </c>
      <c r="K25">
        <f>IF(ISBLANK(NFFT_All[[#This Row],[M6+]]),"",ABS(NFFT_All[[#This Row],[M6+]]-('statistics-M6'!$I29/365)))</f>
        <v>2.4543867473717751</v>
      </c>
      <c r="L25" t="str">
        <f>IF(ISBLANK(NFFT_All[[#This Row],[M7+]]),"",ABS(NFFT_All[[#This Row],[M7+]]-('statistics-M7'!$I29/365)))</f>
        <v/>
      </c>
      <c r="M25" t="e">
        <f>IF(ISBLANK(NFFT_All[[#This Row],[M8+]]),"",ABS(NFFT_All[[#This Row],[M8+]]-('statistics-M8'!$I29/365)))</f>
        <v>#VALUE!</v>
      </c>
      <c r="O25">
        <f>IF(ISBLANK(NFFT_All[[#This Row],[M4+]]),"",ABS(NFFT_All[[#This Row],[M4+]]-('statistics-M4'!$F29/365)))</f>
        <v>4.7182328767123289</v>
      </c>
      <c r="P25">
        <f>IF(ISBLANK(NFFT_All[[#This Row],[M5+]]),"",ABS(NFFT_All[[#This Row],[M5+]]-('statistics-M5'!$F29/365)))</f>
        <v>4.7182328767123289</v>
      </c>
      <c r="Q25">
        <f>IF(ISBLANK(NFFT_All[[#This Row],[M6+]]),"",ABS(NFFT_All[[#This Row],[M6+]]-('statistics-M6'!$F29/365)))</f>
        <v>0.69095890410958916</v>
      </c>
      <c r="R25" t="str">
        <f>IF(ISBLANK(NFFT_All[[#This Row],[M7+]]),"",ABS(NFFT_All[[#This Row],[M7+]]-('statistics-M7'!$F29/365)))</f>
        <v/>
      </c>
      <c r="S25" t="e">
        <f>IF(ISBLANK(NFFT_All[[#This Row],[M8+]]),"",ABS(NFFT_All[[#This Row],[M8+]]-('statistics-M8'!$F29/365)))</f>
        <v>#VALUE!</v>
      </c>
      <c r="U25">
        <f>IF(ISBLANK(NFFT_All[[#This Row],[M4+]]),"",ABS(NFFT_All[[#This Row],[M4+]]-('statistics-M4'!$J29/365)))</f>
        <v>4.3620684931506846</v>
      </c>
      <c r="V25">
        <f>IF(ISBLANK(NFFT_All[[#This Row],[M5+]]),"",ABS(NFFT_All[[#This Row],[M5+]]-('statistics-M5'!$J29/365)))</f>
        <v>4.3620684931506846</v>
      </c>
      <c r="W25">
        <f>IF(ISBLANK(NFFT_All[[#This Row],[M6+]]),"",ABS(NFFT_All[[#This Row],[M6+]]-('statistics-M6'!$J29/365)))</f>
        <v>3.5128767123287674</v>
      </c>
      <c r="X25" t="str">
        <f>IF(ISBLANK(NFFT_All[[#This Row],[M7+]]),"",ABS(NFFT_All[[#This Row],[M7+]]-('statistics-M7'!$J29/365)))</f>
        <v/>
      </c>
      <c r="Y25" t="e">
        <f>IF(ISBLANK(NFFT_All[[#This Row],[M8+]]),"",ABS(NFFT_All[[#This Row],[M8+]]-('statistics-M8'!$J29/365)))</f>
        <v>#VALUE!</v>
      </c>
    </row>
    <row r="26" spans="1:25" x14ac:dyDescent="0.35">
      <c r="A26" t="s">
        <v>18</v>
      </c>
      <c r="B26">
        <v>2</v>
      </c>
      <c r="C26">
        <v>2.395</v>
      </c>
      <c r="D26">
        <v>2.395</v>
      </c>
      <c r="E26">
        <v>17.52</v>
      </c>
      <c r="G26" t="s">
        <v>57</v>
      </c>
      <c r="H26" t="e">
        <f>VALUE(NFFT_All[[#This Row],[M8+]])</f>
        <v>#VALUE!</v>
      </c>
      <c r="I26">
        <f>IF(ISBLANK(NFFT_All[[#This Row],[M4+]]),"",ABS(NFFT_All[[#This Row],[M4+]]-('statistics-M4'!I30/365)))</f>
        <v>0.90177425408144107</v>
      </c>
      <c r="J26">
        <f>IF(ISBLANK(NFFT_All[[#This Row],[M5+]]),"",ABS(NFFT_All[[#This Row],[M5+]]-('statistics-M5'!$I30/365)))</f>
        <v>0.76805254549171953</v>
      </c>
      <c r="K26">
        <f>IF(ISBLANK(NFFT_All[[#This Row],[M6+]]),"",ABS(NFFT_All[[#This Row],[M6+]]-('statistics-M6'!$I30/365)))</f>
        <v>10.007671232876712</v>
      </c>
      <c r="L26" t="str">
        <f>IF(ISBLANK(NFFT_All[[#This Row],[M7+]]),"",ABS(NFFT_All[[#This Row],[M7+]]-('statistics-M7'!$I30/365)))</f>
        <v/>
      </c>
      <c r="M26" t="e">
        <f>IF(ISBLANK(NFFT_All[[#This Row],[M8+]]),"",ABS(NFFT_All[[#This Row],[M8+]]-('statistics-M8'!$I30/365)))</f>
        <v>#VALUE!</v>
      </c>
      <c r="O26">
        <f>IF(ISBLANK(NFFT_All[[#This Row],[M4+]]),"",ABS(NFFT_All[[#This Row],[M4+]]-('statistics-M4'!$F30/365)))</f>
        <v>1.7621232876712329</v>
      </c>
      <c r="P26">
        <f>IF(ISBLANK(NFFT_All[[#This Row],[M5+]]),"",ABS(NFFT_All[[#This Row],[M5+]]-('statistics-M5'!$F30/365)))</f>
        <v>1.7621232876712329</v>
      </c>
      <c r="Q26">
        <f>IF(ISBLANK(NFFT_All[[#This Row],[M6+]]),"",ABS(NFFT_All[[#This Row],[M6+]]-('statistics-M6'!$F30/365)))</f>
        <v>16.835068493150686</v>
      </c>
      <c r="R26" t="str">
        <f>IF(ISBLANK(NFFT_All[[#This Row],[M7+]]),"",ABS(NFFT_All[[#This Row],[M7+]]-('statistics-M7'!$F30/365)))</f>
        <v/>
      </c>
      <c r="S26" t="e">
        <f>IF(ISBLANK(NFFT_All[[#This Row],[M8+]]),"",ABS(NFFT_All[[#This Row],[M8+]]-('statistics-M8'!$F30/365)))</f>
        <v>#VALUE!</v>
      </c>
      <c r="U26">
        <f>IF(ISBLANK(NFFT_All[[#This Row],[M4+]]),"",ABS(NFFT_All[[#This Row],[M4+]]-('statistics-M4'!$J30/365)))</f>
        <v>1.5018493150684931</v>
      </c>
      <c r="V26">
        <f>IF(ISBLANK(NFFT_All[[#This Row],[M5+]]),"",ABS(NFFT_All[[#This Row],[M5+]]-('statistics-M5'!$J30/365)))</f>
        <v>1.4306164383561644</v>
      </c>
      <c r="W26">
        <f>IF(ISBLANK(NFFT_All[[#This Row],[M6+]]),"",ABS(NFFT_All[[#This Row],[M6+]]-('statistics-M6'!$J30/365)))</f>
        <v>13.058356164383561</v>
      </c>
      <c r="X26" t="str">
        <f>IF(ISBLANK(NFFT_All[[#This Row],[M7+]]),"",ABS(NFFT_All[[#This Row],[M7+]]-('statistics-M7'!$J30/365)))</f>
        <v/>
      </c>
      <c r="Y26" t="e">
        <f>IF(ISBLANK(NFFT_All[[#This Row],[M8+]]),"",ABS(NFFT_All[[#This Row],[M8+]]-('statistics-M8'!$J30/365)))</f>
        <v>#VALUE!</v>
      </c>
    </row>
    <row r="27" spans="1:25" x14ac:dyDescent="0.35">
      <c r="A27" t="s">
        <v>18</v>
      </c>
      <c r="B27">
        <v>3</v>
      </c>
      <c r="C27">
        <v>4.7039999999999997</v>
      </c>
      <c r="D27">
        <v>7.492</v>
      </c>
      <c r="E27">
        <v>17.491</v>
      </c>
      <c r="G27" t="s">
        <v>58</v>
      </c>
      <c r="H27" t="e">
        <f>VALUE(NFFT_All[[#This Row],[M8+]])</f>
        <v>#VALUE!</v>
      </c>
      <c r="I27">
        <f>IF(ISBLANK(NFFT_All[[#This Row],[M4+]]),"",ABS(NFFT_All[[#This Row],[M4+]]-('statistics-M4'!I31/365)))</f>
        <v>3.2985966514459664</v>
      </c>
      <c r="J27">
        <f>IF(ISBLANK(NFFT_All[[#This Row],[M5+]]),"",ABS(NFFT_All[[#This Row],[M5+]]-('statistics-M5'!$I31/365)))</f>
        <v>5.8331632607231079</v>
      </c>
      <c r="K27">
        <f>IF(ISBLANK(NFFT_All[[#This Row],[M6+]]),"",ABS(NFFT_All[[#This Row],[M6+]]-('statistics-M6'!$I31/365)))</f>
        <v>11.074561643835615</v>
      </c>
      <c r="L27" t="str">
        <f>IF(ISBLANK(NFFT_All[[#This Row],[M7+]]),"",ABS(NFFT_All[[#This Row],[M7+]]-('statistics-M7'!$I31/365)))</f>
        <v/>
      </c>
      <c r="M27" t="e">
        <f>IF(ISBLANK(NFFT_All[[#This Row],[M8+]]),"",ABS(NFFT_All[[#This Row],[M8+]]-('statistics-M8'!$I31/365)))</f>
        <v>#VALUE!</v>
      </c>
      <c r="O27">
        <f>IF(ISBLANK(NFFT_All[[#This Row],[M4+]]),"",ABS(NFFT_All[[#This Row],[M4+]]-('statistics-M4'!$F31/365)))</f>
        <v>4.2081095890410953</v>
      </c>
      <c r="P27">
        <f>IF(ISBLANK(NFFT_All[[#This Row],[M5+]]),"",ABS(NFFT_All[[#This Row],[M5+]]-('statistics-M5'!$F31/365)))</f>
        <v>6.9961095890410956</v>
      </c>
      <c r="Q27">
        <f>IF(ISBLANK(NFFT_All[[#This Row],[M6+]]),"",ABS(NFFT_All[[#This Row],[M6+]]-('statistics-M6'!$F31/365)))</f>
        <v>16.948534246575342</v>
      </c>
      <c r="R27" t="str">
        <f>IF(ISBLANK(NFFT_All[[#This Row],[M7+]]),"",ABS(NFFT_All[[#This Row],[M7+]]-('statistics-M7'!$F31/365)))</f>
        <v/>
      </c>
      <c r="S27" t="e">
        <f>IF(ISBLANK(NFFT_All[[#This Row],[M8+]]),"",ABS(NFFT_All[[#This Row],[M8+]]-('statistics-M8'!$F31/365)))</f>
        <v>#VALUE!</v>
      </c>
      <c r="U27">
        <f>IF(ISBLANK(NFFT_All[[#This Row],[M4+]]),"",ABS(NFFT_All[[#This Row],[M4+]]-('statistics-M4'!$J31/365)))</f>
        <v>3.7382465753424654</v>
      </c>
      <c r="V27">
        <f>IF(ISBLANK(NFFT_All[[#This Row],[M5+]]),"",ABS(NFFT_All[[#This Row],[M5+]]-('statistics-M5'!$J31/365)))</f>
        <v>6.4509041095890414</v>
      </c>
      <c r="W27">
        <f>IF(ISBLANK(NFFT_All[[#This Row],[M6+]]),"",ABS(NFFT_All[[#This Row],[M6+]]-('statistics-M6'!$J31/365)))</f>
        <v>12.543054794520547</v>
      </c>
      <c r="X27" t="str">
        <f>IF(ISBLANK(NFFT_All[[#This Row],[M7+]]),"",ABS(NFFT_All[[#This Row],[M7+]]-('statistics-M7'!$J31/365)))</f>
        <v/>
      </c>
      <c r="Y27" t="e">
        <f>IF(ISBLANK(NFFT_All[[#This Row],[M8+]]),"",ABS(NFFT_All[[#This Row],[M8+]]-('statistics-M8'!$J31/365)))</f>
        <v>#VALUE!</v>
      </c>
    </row>
    <row r="28" spans="1:25" x14ac:dyDescent="0.35">
      <c r="A28" t="s">
        <v>19</v>
      </c>
      <c r="B28">
        <v>1</v>
      </c>
      <c r="C28">
        <v>29.986000000000001</v>
      </c>
      <c r="D28">
        <v>29.986000000000001</v>
      </c>
      <c r="E28">
        <v>4.5670000000000002</v>
      </c>
      <c r="G28" t="s">
        <v>57</v>
      </c>
      <c r="H28" t="e">
        <f>VALUE(NFFT_All[[#This Row],[M8+]])</f>
        <v>#VALUE!</v>
      </c>
      <c r="I28">
        <f>IF(ISBLANK(NFFT_All[[#This Row],[M4+]]),"",ABS(NFFT_All[[#This Row],[M4+]]-('statistics-M4'!I32/365)))</f>
        <v>28.797854062118542</v>
      </c>
      <c r="J28">
        <f>IF(ISBLANK(NFFT_All[[#This Row],[M5+]]),"",ABS(NFFT_All[[#This Row],[M5+]]-('statistics-M5'!$I32/365)))</f>
        <v>28.797854062118542</v>
      </c>
      <c r="K28">
        <f>IF(ISBLANK(NFFT_All[[#This Row],[M6+]]),"",ABS(NFFT_All[[#This Row],[M6+]]-('statistics-M6'!$I32/365)))</f>
        <v>1.8924259939859676</v>
      </c>
      <c r="L28" t="str">
        <f>IF(ISBLANK(NFFT_All[[#This Row],[M7+]]),"",ABS(NFFT_All[[#This Row],[M7+]]-('statistics-M7'!$I32/365)))</f>
        <v/>
      </c>
      <c r="M28" t="e">
        <f>IF(ISBLANK(NFFT_All[[#This Row],[M8+]]),"",ABS(NFFT_All[[#This Row],[M8+]]-('statistics-M8'!$I32/365)))</f>
        <v>#VALUE!</v>
      </c>
      <c r="O28">
        <f>IF(ISBLANK(NFFT_All[[#This Row],[M4+]]),"",ABS(NFFT_All[[#This Row],[M4+]]-('statistics-M4'!$F32/365)))</f>
        <v>29.454493150684932</v>
      </c>
      <c r="P28">
        <f>IF(ISBLANK(NFFT_All[[#This Row],[M5+]]),"",ABS(NFFT_All[[#This Row],[M5+]]-('statistics-M5'!$F32/365)))</f>
        <v>29.454493150684932</v>
      </c>
      <c r="Q28">
        <f>IF(ISBLANK(NFFT_All[[#This Row],[M6+]]),"",ABS(NFFT_All[[#This Row],[M6+]]-('statistics-M6'!$F32/365)))</f>
        <v>4.0354931506849319</v>
      </c>
      <c r="R28" t="str">
        <f>IF(ISBLANK(NFFT_All[[#This Row],[M7+]]),"",ABS(NFFT_All[[#This Row],[M7+]]-('statistics-M7'!$F32/365)))</f>
        <v/>
      </c>
      <c r="S28" t="e">
        <f>IF(ISBLANK(NFFT_All[[#This Row],[M8+]]),"",ABS(NFFT_All[[#This Row],[M8+]]-('statistics-M8'!$F32/365)))</f>
        <v>#VALUE!</v>
      </c>
      <c r="U28">
        <f>IF(ISBLANK(NFFT_All[[#This Row],[M4+]]),"",ABS(NFFT_All[[#This Row],[M4+]]-('statistics-M4'!$J32/365)))</f>
        <v>29.090109589041095</v>
      </c>
      <c r="V28">
        <f>IF(ISBLANK(NFFT_All[[#This Row],[M5+]]),"",ABS(NFFT_All[[#This Row],[M5+]]-('statistics-M5'!$J32/365)))</f>
        <v>29.090109589041095</v>
      </c>
      <c r="W28">
        <f>IF(ISBLANK(NFFT_All[[#This Row],[M6+]]),"",ABS(NFFT_All[[#This Row],[M6+]]-('statistics-M6'!$J32/365)))</f>
        <v>2.7341232876712329</v>
      </c>
      <c r="X28" t="str">
        <f>IF(ISBLANK(NFFT_All[[#This Row],[M7+]]),"",ABS(NFFT_All[[#This Row],[M7+]]-('statistics-M7'!$J32/365)))</f>
        <v/>
      </c>
      <c r="Y28" t="e">
        <f>IF(ISBLANK(NFFT_All[[#This Row],[M8+]]),"",ABS(NFFT_All[[#This Row],[M8+]]-('statistics-M8'!$J32/365)))</f>
        <v>#VALUE!</v>
      </c>
    </row>
    <row r="29" spans="1:25" x14ac:dyDescent="0.35">
      <c r="A29" t="s">
        <v>19</v>
      </c>
      <c r="B29">
        <v>2</v>
      </c>
      <c r="C29">
        <v>3.375</v>
      </c>
      <c r="D29">
        <v>6.6150000000000002</v>
      </c>
      <c r="E29">
        <v>5.734</v>
      </c>
      <c r="G29" t="s">
        <v>57</v>
      </c>
      <c r="H29" t="e">
        <f>VALUE(NFFT_All[[#This Row],[M8+]])</f>
        <v>#VALUE!</v>
      </c>
      <c r="I29">
        <f>IF(ISBLANK(NFFT_All[[#This Row],[M4+]]),"",ABS(NFFT_All[[#This Row],[M4+]]-('statistics-M4'!I33/365)))</f>
        <v>2.2332909328114807</v>
      </c>
      <c r="J29">
        <f>IF(ISBLANK(NFFT_All[[#This Row],[M5+]]),"",ABS(NFFT_All[[#This Row],[M5+]]-('statistics-M5'!$I33/365)))</f>
        <v>5.4471514907332796</v>
      </c>
      <c r="K29">
        <f>IF(ISBLANK(NFFT_All[[#This Row],[M6+]]),"",ABS(NFFT_All[[#This Row],[M6+]]-('statistics-M6'!$I33/365)))</f>
        <v>2.1484691780821916</v>
      </c>
      <c r="L29" t="str">
        <f>IF(ISBLANK(NFFT_All[[#This Row],[M7+]]),"",ABS(NFFT_All[[#This Row],[M7+]]-('statistics-M7'!$I33/365)))</f>
        <v/>
      </c>
      <c r="M29" t="e">
        <f>IF(ISBLANK(NFFT_All[[#This Row],[M8+]]),"",ABS(NFFT_All[[#This Row],[M8+]]-('statistics-M8'!$I33/365)))</f>
        <v>#VALUE!</v>
      </c>
      <c r="O29">
        <f>IF(ISBLANK(NFFT_All[[#This Row],[M4+]]),"",ABS(NFFT_All[[#This Row],[M4+]]-('statistics-M4'!$F33/365)))</f>
        <v>2.8571917808219176</v>
      </c>
      <c r="P29">
        <f>IF(ISBLANK(NFFT_All[[#This Row],[M5+]]),"",ABS(NFFT_All[[#This Row],[M5+]]-('statistics-M5'!$F33/365)))</f>
        <v>6.0971917808219178</v>
      </c>
      <c r="Q29">
        <f>IF(ISBLANK(NFFT_All[[#This Row],[M6+]]),"",ABS(NFFT_All[[#This Row],[M6+]]-('statistics-M6'!$F33/365)))</f>
        <v>5.1942739726027396</v>
      </c>
      <c r="R29" t="str">
        <f>IF(ISBLANK(NFFT_All[[#This Row],[M7+]]),"",ABS(NFFT_All[[#This Row],[M7+]]-('statistics-M7'!$F33/365)))</f>
        <v/>
      </c>
      <c r="S29" t="e">
        <f>IF(ISBLANK(NFFT_All[[#This Row],[M8+]]),"",ABS(NFFT_All[[#This Row],[M8+]]-('statistics-M8'!$F33/365)))</f>
        <v>#VALUE!</v>
      </c>
      <c r="U29">
        <f>IF(ISBLANK(NFFT_All[[#This Row],[M4+]]),"",ABS(NFFT_All[[#This Row],[M4+]]-('statistics-M4'!$J33/365)))</f>
        <v>2.5229452054794521</v>
      </c>
      <c r="V29">
        <f>IF(ISBLANK(NFFT_All[[#This Row],[M5+]]),"",ABS(NFFT_All[[#This Row],[M5+]]-('statistics-M5'!$J33/365)))</f>
        <v>5.7423972602739726</v>
      </c>
      <c r="W29">
        <f>IF(ISBLANK(NFFT_All[[#This Row],[M6+]]),"",ABS(NFFT_All[[#This Row],[M6+]]-('statistics-M6'!$J33/365)))</f>
        <v>3.270986301369863</v>
      </c>
      <c r="X29" t="str">
        <f>IF(ISBLANK(NFFT_All[[#This Row],[M7+]]),"",ABS(NFFT_All[[#This Row],[M7+]]-('statistics-M7'!$J33/365)))</f>
        <v/>
      </c>
      <c r="Y29" t="e">
        <f>IF(ISBLANK(NFFT_All[[#This Row],[M8+]]),"",ABS(NFFT_All[[#This Row],[M8+]]-('statistics-M8'!$J33/365)))</f>
        <v>#VALUE!</v>
      </c>
    </row>
    <row r="30" spans="1:25" x14ac:dyDescent="0.35">
      <c r="A30" t="s">
        <v>19</v>
      </c>
      <c r="B30">
        <v>3</v>
      </c>
      <c r="C30">
        <v>2.0030000000000001</v>
      </c>
      <c r="D30">
        <v>8.657</v>
      </c>
      <c r="G30" t="s">
        <v>58</v>
      </c>
      <c r="H30" t="e">
        <f>VALUE(NFFT_All[[#This Row],[M8+]])</f>
        <v>#VALUE!</v>
      </c>
      <c r="I30">
        <f>IF(ISBLANK(NFFT_All[[#This Row],[M4+]]),"",ABS(NFFT_All[[#This Row],[M4+]]-('statistics-M4'!I34/365)))</f>
        <v>0.54213186994553575</v>
      </c>
      <c r="J30">
        <f>IF(ISBLANK(NFFT_All[[#This Row],[M5+]]),"",ABS(NFFT_All[[#This Row],[M5+]]-('statistics-M5'!$I34/365)))</f>
        <v>7.0822979896815514</v>
      </c>
      <c r="K30" t="str">
        <f>IF(ISBLANK(NFFT_All[[#This Row],[M6+]]),"",ABS(NFFT_All[[#This Row],[M6+]]-('statistics-M6'!$I34/365)))</f>
        <v/>
      </c>
      <c r="L30" t="str">
        <f>IF(ISBLANK(NFFT_All[[#This Row],[M7+]]),"",ABS(NFFT_All[[#This Row],[M7+]]-('statistics-M7'!$I34/365)))</f>
        <v/>
      </c>
      <c r="M30" t="e">
        <f>IF(ISBLANK(NFFT_All[[#This Row],[M8+]]),"",ABS(NFFT_All[[#This Row],[M8+]]-('statistics-M8'!$I34/365)))</f>
        <v>#VALUE!</v>
      </c>
      <c r="O30">
        <f>IF(ISBLANK(NFFT_All[[#This Row],[M4+]]),"",ABS(NFFT_All[[#This Row],[M4+]]-('statistics-M4'!$F34/365)))</f>
        <v>1.4413561643835617</v>
      </c>
      <c r="P30">
        <f>IF(ISBLANK(NFFT_All[[#This Row],[M5+]]),"",ABS(NFFT_All[[#This Row],[M5+]]-('statistics-M5'!$F34/365)))</f>
        <v>8.0953561643835616</v>
      </c>
      <c r="Q30" t="str">
        <f>IF(ISBLANK(NFFT_All[[#This Row],[M6+]]),"",ABS(NFFT_All[[#This Row],[M6+]]-('statistics-M6'!$F34/365)))</f>
        <v/>
      </c>
      <c r="R30" t="str">
        <f>IF(ISBLANK(NFFT_All[[#This Row],[M7+]]),"",ABS(NFFT_All[[#This Row],[M7+]]-('statistics-M7'!$F34/365)))</f>
        <v/>
      </c>
      <c r="S30" t="e">
        <f>IF(ISBLANK(NFFT_All[[#This Row],[M8+]]),"",ABS(NFFT_All[[#This Row],[M8+]]-('statistics-M8'!$F34/365)))</f>
        <v>#VALUE!</v>
      </c>
      <c r="U30">
        <f>IF(ISBLANK(NFFT_All[[#This Row],[M4+]]),"",ABS(NFFT_All[[#This Row],[M4+]]-('statistics-M4'!$J34/365)))</f>
        <v>1.1235479452054795</v>
      </c>
      <c r="V30">
        <f>IF(ISBLANK(NFFT_All[[#This Row],[M5+]]),"",ABS(NFFT_All[[#This Row],[M5+]]-('statistics-M5'!$J34/365)))</f>
        <v>7.7145342465753428</v>
      </c>
      <c r="W30" t="str">
        <f>IF(ISBLANK(NFFT_All[[#This Row],[M6+]]),"",ABS(NFFT_All[[#This Row],[M6+]]-('statistics-M6'!$J34/365)))</f>
        <v/>
      </c>
      <c r="X30" t="str">
        <f>IF(ISBLANK(NFFT_All[[#This Row],[M7+]]),"",ABS(NFFT_All[[#This Row],[M7+]]-('statistics-M7'!$J34/365)))</f>
        <v/>
      </c>
      <c r="Y30" t="e">
        <f>IF(ISBLANK(NFFT_All[[#This Row],[M8+]]),"",ABS(NFFT_All[[#This Row],[M8+]]-('statistics-M8'!$J34/365)))</f>
        <v>#VALUE!</v>
      </c>
    </row>
    <row r="31" spans="1:25" x14ac:dyDescent="0.35">
      <c r="A31" t="s">
        <v>20</v>
      </c>
      <c r="B31">
        <v>1</v>
      </c>
      <c r="C31">
        <v>1.7170000000000001</v>
      </c>
      <c r="D31">
        <v>1.7170000000000001</v>
      </c>
      <c r="E31">
        <v>19.582999999999998</v>
      </c>
      <c r="G31" t="s">
        <v>57</v>
      </c>
      <c r="H31" t="e">
        <f>VALUE(NFFT_All[[#This Row],[M8+]])</f>
        <v>#VALUE!</v>
      </c>
      <c r="I31">
        <f>IF(ISBLANK(NFFT_All[[#This Row],[M4+]]),"",ABS(NFFT_All[[#This Row],[M4+]]-('statistics-M4'!I35/365)))</f>
        <v>0.65453905311223282</v>
      </c>
      <c r="J31">
        <f>IF(ISBLANK(NFFT_All[[#This Row],[M5+]]),"",ABS(NFFT_All[[#This Row],[M5+]]-('statistics-M5'!$I35/365)))</f>
        <v>0.65453905311223282</v>
      </c>
      <c r="K31">
        <f>IF(ISBLANK(NFFT_All[[#This Row],[M6+]]),"",ABS(NFFT_All[[#This Row],[M6+]]-('statistics-M6'!$I35/365)))</f>
        <v>16.489488824801729</v>
      </c>
      <c r="L31" t="str">
        <f>IF(ISBLANK(NFFT_All[[#This Row],[M7+]]),"",ABS(NFFT_All[[#This Row],[M7+]]-('statistics-M7'!$I35/365)))</f>
        <v/>
      </c>
      <c r="M31" t="e">
        <f>IF(ISBLANK(NFFT_All[[#This Row],[M8+]]),"",ABS(NFFT_All[[#This Row],[M8+]]-('statistics-M8'!$I35/365)))</f>
        <v>#VALUE!</v>
      </c>
      <c r="O31">
        <f>IF(ISBLANK(NFFT_All[[#This Row],[M4+]]),"",ABS(NFFT_All[[#This Row],[M4+]]-('statistics-M4'!$F35/365)))</f>
        <v>1.0430273972602739</v>
      </c>
      <c r="P31">
        <f>IF(ISBLANK(NFFT_All[[#This Row],[M5+]]),"",ABS(NFFT_All[[#This Row],[M5+]]-('statistics-M5'!$F35/365)))</f>
        <v>1.0430273972602739</v>
      </c>
      <c r="Q31">
        <f>IF(ISBLANK(NFFT_All[[#This Row],[M6+]]),"",ABS(NFFT_All[[#This Row],[M6+]]-('statistics-M6'!$F35/365)))</f>
        <v>18.909027397260271</v>
      </c>
      <c r="R31" t="str">
        <f>IF(ISBLANK(NFFT_All[[#This Row],[M7+]]),"",ABS(NFFT_All[[#This Row],[M7+]]-('statistics-M7'!$F35/365)))</f>
        <v/>
      </c>
      <c r="S31" t="e">
        <f>IF(ISBLANK(NFFT_All[[#This Row],[M8+]]),"",ABS(NFFT_All[[#This Row],[M8+]]-('statistics-M8'!$F35/365)))</f>
        <v>#VALUE!</v>
      </c>
      <c r="U31">
        <f>IF(ISBLANK(NFFT_All[[#This Row],[M4+]]),"",ABS(NFFT_All[[#This Row],[M4+]]-('statistics-M4'!$J35/365)))</f>
        <v>0.88686301369863019</v>
      </c>
      <c r="V31">
        <f>IF(ISBLANK(NFFT_All[[#This Row],[M5+]]),"",ABS(NFFT_All[[#This Row],[M5+]]-('statistics-M5'!$J35/365)))</f>
        <v>0.88686301369863019</v>
      </c>
      <c r="W31">
        <f>IF(ISBLANK(NFFT_All[[#This Row],[M6+]]),"",ABS(NFFT_All[[#This Row],[M6+]]-('statistics-M6'!$J35/365)))</f>
        <v>17.239164383561643</v>
      </c>
      <c r="X31" t="str">
        <f>IF(ISBLANK(NFFT_All[[#This Row],[M7+]]),"",ABS(NFFT_All[[#This Row],[M7+]]-('statistics-M7'!$J35/365)))</f>
        <v/>
      </c>
      <c r="Y31" t="e">
        <f>IF(ISBLANK(NFFT_All[[#This Row],[M8+]]),"",ABS(NFFT_All[[#This Row],[M8+]]-('statistics-M8'!$J35/365)))</f>
        <v>#VALUE!</v>
      </c>
    </row>
    <row r="32" spans="1:25" x14ac:dyDescent="0.35">
      <c r="A32" t="s">
        <v>20</v>
      </c>
      <c r="B32">
        <v>2</v>
      </c>
      <c r="C32">
        <v>3.875</v>
      </c>
      <c r="D32">
        <v>3.8439999999999999</v>
      </c>
      <c r="G32" t="s">
        <v>57</v>
      </c>
      <c r="H32" t="e">
        <f>VALUE(NFFT_All[[#This Row],[M8+]])</f>
        <v>#VALUE!</v>
      </c>
      <c r="I32">
        <f>IF(ISBLANK(NFFT_All[[#This Row],[M4+]]),"",ABS(NFFT_All[[#This Row],[M4+]]-('statistics-M4'!I36/365)))</f>
        <v>2.467719084255958</v>
      </c>
      <c r="J32">
        <f>IF(ISBLANK(NFFT_All[[#This Row],[M5+]]),"",ABS(NFFT_All[[#This Row],[M5+]]-('statistics-M5'!$I36/365)))</f>
        <v>1.9911481942714819</v>
      </c>
      <c r="K32" t="str">
        <f>IF(ISBLANK(NFFT_All[[#This Row],[M6+]]),"",ABS(NFFT_All[[#This Row],[M6+]]-('statistics-M6'!$I36/365)))</f>
        <v/>
      </c>
      <c r="L32" t="str">
        <f>IF(ISBLANK(NFFT_All[[#This Row],[M7+]]),"",ABS(NFFT_All[[#This Row],[M7+]]-('statistics-M7'!$I36/365)))</f>
        <v/>
      </c>
      <c r="M32" t="e">
        <f>IF(ISBLANK(NFFT_All[[#This Row],[M8+]]),"",ABS(NFFT_All[[#This Row],[M8+]]-('statistics-M8'!$I36/365)))</f>
        <v>#VALUE!</v>
      </c>
      <c r="O32">
        <f>IF(ISBLANK(NFFT_All[[#This Row],[M4+]]),"",ABS(NFFT_All[[#This Row],[M4+]]-('statistics-M4'!$F36/365)))</f>
        <v>3.2530821917808219</v>
      </c>
      <c r="P32">
        <f>IF(ISBLANK(NFFT_All[[#This Row],[M5+]]),"",ABS(NFFT_All[[#This Row],[M5+]]-('statistics-M5'!$F36/365)))</f>
        <v>2.7892054794520549</v>
      </c>
      <c r="Q32" t="str">
        <f>IF(ISBLANK(NFFT_All[[#This Row],[M6+]]),"",ABS(NFFT_All[[#This Row],[M6+]]-('statistics-M6'!$F36/365)))</f>
        <v/>
      </c>
      <c r="R32" t="str">
        <f>IF(ISBLANK(NFFT_All[[#This Row],[M7+]]),"",ABS(NFFT_All[[#This Row],[M7+]]-('statistics-M7'!$F36/365)))</f>
        <v/>
      </c>
      <c r="S32" t="e">
        <f>IF(ISBLANK(NFFT_All[[#This Row],[M8+]]),"",ABS(NFFT_All[[#This Row],[M8+]]-('statistics-M8'!$F36/365)))</f>
        <v>#VALUE!</v>
      </c>
      <c r="U32">
        <f>IF(ISBLANK(NFFT_All[[#This Row],[M4+]]),"",ABS(NFFT_All[[#This Row],[M4+]]-('statistics-M4'!$J36/365)))</f>
        <v>2.9626712328767124</v>
      </c>
      <c r="V32">
        <f>IF(ISBLANK(NFFT_All[[#This Row],[M5+]]),"",ABS(NFFT_All[[#This Row],[M5+]]-('statistics-M5'!$J36/365)))</f>
        <v>2.6330410958904107</v>
      </c>
      <c r="W32" t="str">
        <f>IF(ISBLANK(NFFT_All[[#This Row],[M6+]]),"",ABS(NFFT_All[[#This Row],[M6+]]-('statistics-M6'!$J36/365)))</f>
        <v/>
      </c>
      <c r="X32" t="str">
        <f>IF(ISBLANK(NFFT_All[[#This Row],[M7+]]),"",ABS(NFFT_All[[#This Row],[M7+]]-('statistics-M7'!$J36/365)))</f>
        <v/>
      </c>
      <c r="Y32" t="e">
        <f>IF(ISBLANK(NFFT_All[[#This Row],[M8+]]),"",ABS(NFFT_All[[#This Row],[M8+]]-('statistics-M8'!$J36/365)))</f>
        <v>#VALUE!</v>
      </c>
    </row>
    <row r="33" spans="1:25" x14ac:dyDescent="0.35">
      <c r="A33" t="s">
        <v>20</v>
      </c>
      <c r="B33">
        <v>3</v>
      </c>
      <c r="C33">
        <v>2.226</v>
      </c>
      <c r="D33">
        <v>5.4260000000000002</v>
      </c>
      <c r="G33" t="s">
        <v>57</v>
      </c>
      <c r="H33" t="e">
        <f>VALUE(NFFT_All[[#This Row],[M8+]])</f>
        <v>#VALUE!</v>
      </c>
      <c r="I33">
        <f>IF(ISBLANK(NFFT_All[[#This Row],[M4+]]),"",ABS(NFFT_All[[#This Row],[M4+]]-('statistics-M4'!I37/365)))</f>
        <v>0.34582932854255555</v>
      </c>
      <c r="J33">
        <f>IF(ISBLANK(NFFT_All[[#This Row],[M5+]]),"",ABS(NFFT_All[[#This Row],[M5+]]-('statistics-M5'!$I37/365)))</f>
        <v>2.5757260273972609</v>
      </c>
      <c r="K33" t="str">
        <f>IF(ISBLANK(NFFT_All[[#This Row],[M6+]]),"",ABS(NFFT_All[[#This Row],[M6+]]-('statistics-M6'!$I37/365)))</f>
        <v/>
      </c>
      <c r="L33" t="str">
        <f>IF(ISBLANK(NFFT_All[[#This Row],[M7+]]),"",ABS(NFFT_All[[#This Row],[M7+]]-('statistics-M7'!$I37/365)))</f>
        <v/>
      </c>
      <c r="M33" t="e">
        <f>IF(ISBLANK(NFFT_All[[#This Row],[M8+]]),"",ABS(NFFT_All[[#This Row],[M8+]]-('statistics-M8'!$I37/365)))</f>
        <v>#VALUE!</v>
      </c>
      <c r="O33">
        <f>IF(ISBLANK(NFFT_All[[#This Row],[M4+]]),"",ABS(NFFT_All[[#This Row],[M4+]]-('statistics-M4'!$F37/365)))</f>
        <v>1.7054520547945207</v>
      </c>
      <c r="P33">
        <f>IF(ISBLANK(NFFT_All[[#This Row],[M5+]]),"",ABS(NFFT_All[[#This Row],[M5+]]-('statistics-M5'!$F37/365)))</f>
        <v>4.3328493150684935</v>
      </c>
      <c r="Q33" t="str">
        <f>IF(ISBLANK(NFFT_All[[#This Row],[M6+]]),"",ABS(NFFT_All[[#This Row],[M6+]]-('statistics-M6'!$F37/365)))</f>
        <v/>
      </c>
      <c r="R33" t="str">
        <f>IF(ISBLANK(NFFT_All[[#This Row],[M7+]]),"",ABS(NFFT_All[[#This Row],[M7+]]-('statistics-M7'!$F37/365)))</f>
        <v/>
      </c>
      <c r="S33" t="e">
        <f>IF(ISBLANK(NFFT_All[[#This Row],[M8+]]),"",ABS(NFFT_All[[#This Row],[M8+]]-('statistics-M8'!$F37/365)))</f>
        <v>#VALUE!</v>
      </c>
      <c r="U33">
        <f>IF(ISBLANK(NFFT_All[[#This Row],[M4+]]),"",ABS(NFFT_All[[#This Row],[M4+]]-('statistics-M4'!$J37/365)))</f>
        <v>1.2807945205479452</v>
      </c>
      <c r="V33">
        <f>IF(ISBLANK(NFFT_All[[#This Row],[M5+]]),"",ABS(NFFT_All[[#This Row],[M5+]]-('statistics-M5'!$J37/365)))</f>
        <v>3.7328493150684934</v>
      </c>
      <c r="W33" t="str">
        <f>IF(ISBLANK(NFFT_All[[#This Row],[M6+]]),"",ABS(NFFT_All[[#This Row],[M6+]]-('statistics-M6'!$J37/365)))</f>
        <v/>
      </c>
      <c r="X33" t="str">
        <f>IF(ISBLANK(NFFT_All[[#This Row],[M7+]]),"",ABS(NFFT_All[[#This Row],[M7+]]-('statistics-M7'!$J37/365)))</f>
        <v/>
      </c>
      <c r="Y33" t="e">
        <f>IF(ISBLANK(NFFT_All[[#This Row],[M8+]]),"",ABS(NFFT_All[[#This Row],[M8+]]-('statistics-M8'!$J37/365)))</f>
        <v>#VALUE!</v>
      </c>
    </row>
    <row r="34" spans="1:25" x14ac:dyDescent="0.35">
      <c r="A34" t="s">
        <v>21</v>
      </c>
      <c r="B34">
        <v>1</v>
      </c>
      <c r="C34">
        <v>1.976</v>
      </c>
      <c r="D34">
        <v>1.976</v>
      </c>
      <c r="E34">
        <v>3.258</v>
      </c>
      <c r="G34" t="s">
        <v>57</v>
      </c>
      <c r="H34" t="e">
        <f>VALUE(NFFT_All[[#This Row],[M8+]])</f>
        <v>#VALUE!</v>
      </c>
      <c r="I34">
        <f>IF(ISBLANK(NFFT_All[[#This Row],[M4+]]),"",ABS(NFFT_All[[#This Row],[M4+]]-('statistics-M4'!I38/365)))</f>
        <v>0.75494171367176999</v>
      </c>
      <c r="J34">
        <f>IF(ISBLANK(NFFT_All[[#This Row],[M5+]]),"",ABS(NFFT_All[[#This Row],[M5+]]-('statistics-M5'!$I38/365)))</f>
        <v>0.74285202766852021</v>
      </c>
      <c r="K34">
        <f>IF(ISBLANK(NFFT_All[[#This Row],[M6+]]),"",ABS(NFFT_All[[#This Row],[M6+]]-('statistics-M6'!$I38/365)))</f>
        <v>0.93845310853530028</v>
      </c>
      <c r="L34" t="str">
        <f>IF(ISBLANK(NFFT_All[[#This Row],[M7+]]),"",ABS(NFFT_All[[#This Row],[M7+]]-('statistics-M7'!$I38/365)))</f>
        <v/>
      </c>
      <c r="M34" t="e">
        <f>IF(ISBLANK(NFFT_All[[#This Row],[M8+]]),"",ABS(NFFT_All[[#This Row],[M8+]]-('statistics-M8'!$I38/365)))</f>
        <v>#VALUE!</v>
      </c>
      <c r="O34">
        <f>IF(ISBLANK(NFFT_All[[#This Row],[M4+]]),"",ABS(NFFT_All[[#This Row],[M4+]]-('statistics-M4'!$F38/365)))</f>
        <v>1.417095890410959</v>
      </c>
      <c r="P34">
        <f>IF(ISBLANK(NFFT_All[[#This Row],[M5+]]),"",ABS(NFFT_All[[#This Row],[M5+]]-('statistics-M5'!$F38/365)))</f>
        <v>1.3979178082191781</v>
      </c>
      <c r="Q34">
        <f>IF(ISBLANK(NFFT_All[[#This Row],[M6+]]),"",ABS(NFFT_All[[#This Row],[M6+]]-('statistics-M6'!$F38/365)))</f>
        <v>2.5374520547945205</v>
      </c>
      <c r="R34" t="str">
        <f>IF(ISBLANK(NFFT_All[[#This Row],[M7+]]),"",ABS(NFFT_All[[#This Row],[M7+]]-('statistics-M7'!$F38/365)))</f>
        <v/>
      </c>
      <c r="S34" t="e">
        <f>IF(ISBLANK(NFFT_All[[#This Row],[M8+]]),"",ABS(NFFT_All[[#This Row],[M8+]]-('statistics-M8'!$F38/365)))</f>
        <v>#VALUE!</v>
      </c>
      <c r="U34">
        <f>IF(ISBLANK(NFFT_All[[#This Row],[M4+]]),"",ABS(NFFT_All[[#This Row],[M4+]]-('statistics-M4'!$J38/365)))</f>
        <v>1.0773698630136987</v>
      </c>
      <c r="V34">
        <f>IF(ISBLANK(NFFT_All[[#This Row],[M5+]]),"",ABS(NFFT_All[[#This Row],[M5+]]-('statistics-M5'!$J38/365)))</f>
        <v>1.0691506849315067</v>
      </c>
      <c r="W34">
        <f>IF(ISBLANK(NFFT_All[[#This Row],[M6+]]),"",ABS(NFFT_All[[#This Row],[M6+]]-('statistics-M6'!$J38/365)))</f>
        <v>1.6662191780821918</v>
      </c>
      <c r="X34" t="str">
        <f>IF(ISBLANK(NFFT_All[[#This Row],[M7+]]),"",ABS(NFFT_All[[#This Row],[M7+]]-('statistics-M7'!$J38/365)))</f>
        <v/>
      </c>
      <c r="Y34" t="e">
        <f>IF(ISBLANK(NFFT_All[[#This Row],[M8+]]),"",ABS(NFFT_All[[#This Row],[M8+]]-('statistics-M8'!$J38/365)))</f>
        <v>#VALUE!</v>
      </c>
    </row>
    <row r="35" spans="1:25" x14ac:dyDescent="0.35">
      <c r="A35" t="s">
        <v>22</v>
      </c>
      <c r="B35">
        <v>1</v>
      </c>
      <c r="C35">
        <v>2.1070000000000002</v>
      </c>
      <c r="D35">
        <v>2.1070000000000002</v>
      </c>
      <c r="E35">
        <v>16.640999999999998</v>
      </c>
      <c r="G35" t="s">
        <v>57</v>
      </c>
      <c r="H35" t="e">
        <f>VALUE(NFFT_All[[#This Row],[M8+]])</f>
        <v>#VALUE!</v>
      </c>
      <c r="I35">
        <f>IF(ISBLANK(NFFT_All[[#This Row],[M4+]]),"",ABS(NFFT_All[[#This Row],[M4+]]-('statistics-M4'!I41/365)))</f>
        <v>0.71366666666666689</v>
      </c>
      <c r="J35">
        <f>IF(ISBLANK(NFFT_All[[#This Row],[M5+]]),"",ABS(NFFT_All[[#This Row],[M5+]]-('statistics-M5'!$I41/365)))</f>
        <v>0.69801123595505632</v>
      </c>
      <c r="K35">
        <f>IF(ISBLANK(NFFT_All[[#This Row],[M6+]]),"",ABS(NFFT_All[[#This Row],[M6+]]-('statistics-M6'!$I41/365)))</f>
        <v>12.968316680096695</v>
      </c>
      <c r="L35" t="str">
        <f>IF(ISBLANK(NFFT_All[[#This Row],[M7+]]),"",ABS(NFFT_All[[#This Row],[M7+]]-('statistics-M7'!$I41/365)))</f>
        <v/>
      </c>
      <c r="M35" t="e">
        <f>IF(ISBLANK(NFFT_All[[#This Row],[M8+]]),"",ABS(NFFT_All[[#This Row],[M8+]]-('statistics-M8'!$I41/365)))</f>
        <v>#VALUE!</v>
      </c>
      <c r="O35">
        <f>IF(ISBLANK(NFFT_All[[#This Row],[M4+]]),"",ABS(NFFT_All[[#This Row],[M4+]]-('statistics-M4'!$F41/365)))</f>
        <v>1.5508356164383563</v>
      </c>
      <c r="P35">
        <f>IF(ISBLANK(NFFT_All[[#This Row],[M5+]]),"",ABS(NFFT_All[[#This Row],[M5+]]-('statistics-M5'!$F41/365)))</f>
        <v>1.5508356164383563</v>
      </c>
      <c r="Q35">
        <f>IF(ISBLANK(NFFT_All[[#This Row],[M6+]]),"",ABS(NFFT_All[[#This Row],[M6+]]-('statistics-M6'!$F41/365)))</f>
        <v>16.054698630136983</v>
      </c>
      <c r="R35" t="str">
        <f>IF(ISBLANK(NFFT_All[[#This Row],[M7+]]),"",ABS(NFFT_All[[#This Row],[M7+]]-('statistics-M7'!$F41/365)))</f>
        <v/>
      </c>
      <c r="S35" t="e">
        <f>IF(ISBLANK(NFFT_All[[#This Row],[M8+]]),"",ABS(NFFT_All[[#This Row],[M8+]]-('statistics-M8'!$F41/365)))</f>
        <v>#VALUE!</v>
      </c>
      <c r="U35">
        <f>IF(ISBLANK(NFFT_All[[#This Row],[M4+]]),"",ABS(NFFT_All[[#This Row],[M4+]]-('statistics-M4'!$J41/365)))</f>
        <v>1.2111095890410961</v>
      </c>
      <c r="V35">
        <f>IF(ISBLANK(NFFT_All[[#This Row],[M5+]]),"",ABS(NFFT_All[[#This Row],[M5+]]-('statistics-M5'!$J41/365)))</f>
        <v>1.1837123287671236</v>
      </c>
      <c r="W35">
        <f>IF(ISBLANK(NFFT_All[[#This Row],[M6+]]),"",ABS(NFFT_All[[#This Row],[M6+]]-('statistics-M6'!$J41/365)))</f>
        <v>13.5396301369863</v>
      </c>
      <c r="X35" t="str">
        <f>IF(ISBLANK(NFFT_All[[#This Row],[M7+]]),"",ABS(NFFT_All[[#This Row],[M7+]]-('statistics-M7'!$J41/365)))</f>
        <v/>
      </c>
      <c r="Y35" t="e">
        <f>IF(ISBLANK(NFFT_All[[#This Row],[M8+]]),"",ABS(NFFT_All[[#This Row],[M8+]]-('statistics-M8'!$J41/365)))</f>
        <v>#VALUE!</v>
      </c>
    </row>
    <row r="36" spans="1:25" x14ac:dyDescent="0.35">
      <c r="A36" t="s">
        <v>23</v>
      </c>
      <c r="B36">
        <v>1</v>
      </c>
      <c r="C36">
        <v>12.536</v>
      </c>
      <c r="D36">
        <v>12.536</v>
      </c>
      <c r="E36">
        <v>12.433</v>
      </c>
      <c r="F36">
        <v>24.94</v>
      </c>
      <c r="G36" t="s">
        <v>57</v>
      </c>
      <c r="H36" t="e">
        <f>VALUE(NFFT_All[[#This Row],[M8+]])</f>
        <v>#VALUE!</v>
      </c>
      <c r="I36">
        <f>IF(ISBLANK(NFFT_All[[#This Row],[M4+]]),"",ABS(NFFT_All[[#This Row],[M4+]]-('statistics-M4'!I42/365)))</f>
        <v>11.242990538059596</v>
      </c>
      <c r="J36">
        <f>IF(ISBLANK(NFFT_All[[#This Row],[M5+]]),"",ABS(NFFT_All[[#This Row],[M5+]]-('statistics-M5'!$I42/365)))</f>
        <v>11.242990538059596</v>
      </c>
      <c r="K36">
        <f>IF(ISBLANK(NFFT_All[[#This Row],[M6+]]),"",ABS(NFFT_All[[#This Row],[M6+]]-('statistics-M6'!$I42/365)))</f>
        <v>9.605851805728518</v>
      </c>
      <c r="L36">
        <f>IF(ISBLANK(NFFT_All[[#This Row],[M7+]]),"",ABS(NFFT_All[[#This Row],[M7+]]-('statistics-M7'!$I42/365)))</f>
        <v>13.711506849315072</v>
      </c>
      <c r="M36" t="e">
        <f>IF(ISBLANK(NFFT_All[[#This Row],[M8+]]),"",ABS(NFFT_All[[#This Row],[M8+]]-('statistics-M8'!$I42/365)))</f>
        <v>#VALUE!</v>
      </c>
      <c r="O36">
        <f>IF(ISBLANK(NFFT_All[[#This Row],[M4+]]),"",ABS(NFFT_All[[#This Row],[M4+]]-('statistics-M4'!$F42/365)))</f>
        <v>12.034630136986301</v>
      </c>
      <c r="P36">
        <f>IF(ISBLANK(NFFT_All[[#This Row],[M5+]]),"",ABS(NFFT_All[[#This Row],[M5+]]-('statistics-M5'!$F42/365)))</f>
        <v>12.034630136986301</v>
      </c>
      <c r="Q36">
        <f>IF(ISBLANK(NFFT_All[[#This Row],[M6+]]),"",ABS(NFFT_All[[#This Row],[M6+]]-('statistics-M6'!$F42/365)))</f>
        <v>11.556287671232877</v>
      </c>
      <c r="R36">
        <f>IF(ISBLANK(NFFT_All[[#This Row],[M7+]]),"",ABS(NFFT_All[[#This Row],[M7+]]-('statistics-M7'!$F42/365)))</f>
        <v>23.863287671232879</v>
      </c>
      <c r="S36" t="e">
        <f>IF(ISBLANK(NFFT_All[[#This Row],[M8+]]),"",ABS(NFFT_All[[#This Row],[M8+]]-('statistics-M8'!$F42/365)))</f>
        <v>#VALUE!</v>
      </c>
      <c r="U36">
        <f>IF(ISBLANK(NFFT_All[[#This Row],[M4+]]),"",ABS(NFFT_All[[#This Row],[M4+]]-('statistics-M4'!$J42/365)))</f>
        <v>11.588054794520547</v>
      </c>
      <c r="V36">
        <f>IF(ISBLANK(NFFT_All[[#This Row],[M5+]]),"",ABS(NFFT_All[[#This Row],[M5+]]-('statistics-M5'!$J42/365)))</f>
        <v>11.588054794520547</v>
      </c>
      <c r="W36">
        <f>IF(ISBLANK(NFFT_All[[#This Row],[M6+]]),"",ABS(NFFT_All[[#This Row],[M6+]]-('statistics-M6'!$J42/365)))</f>
        <v>10.230260273972602</v>
      </c>
      <c r="X36">
        <f>IF(ISBLANK(NFFT_All[[#This Row],[M7+]]),"",ABS(NFFT_All[[#This Row],[M7+]]-('statistics-M7'!$J42/365)))</f>
        <v>17.03041095890411</v>
      </c>
      <c r="Y36" t="e">
        <f>IF(ISBLANK(NFFT_All[[#This Row],[M8+]]),"",ABS(NFFT_All[[#This Row],[M8+]]-('statistics-M8'!$J42/365)))</f>
        <v>#VALUE!</v>
      </c>
    </row>
    <row r="37" spans="1:25" x14ac:dyDescent="0.35">
      <c r="A37" t="s">
        <v>24</v>
      </c>
      <c r="B37">
        <v>1</v>
      </c>
      <c r="C37">
        <v>1.798</v>
      </c>
      <c r="D37">
        <v>11.134</v>
      </c>
      <c r="E37">
        <v>7.4649999999999999</v>
      </c>
      <c r="G37" t="s">
        <v>57</v>
      </c>
      <c r="H37" t="e">
        <f>VALUE(NFFT_All[[#This Row],[M8+]])</f>
        <v>#VALUE!</v>
      </c>
      <c r="I37">
        <f>IF(ISBLANK(NFFT_All[[#This Row],[M4+]]),"",ABS(NFFT_All[[#This Row],[M4+]]-('statistics-M4'!I44/365)))</f>
        <v>0.45990476190476182</v>
      </c>
      <c r="J37">
        <f>IF(ISBLANK(NFFT_All[[#This Row],[M5+]]),"",ABS(NFFT_All[[#This Row],[M5+]]-('statistics-M5'!$I44/365)))</f>
        <v>9.5868538812785395</v>
      </c>
      <c r="K37">
        <f>IF(ISBLANK(NFFT_All[[#This Row],[M6+]]),"",ABS(NFFT_All[[#This Row],[M6+]]-('statistics-M6'!$I44/365)))</f>
        <v>3.1971591650358775</v>
      </c>
      <c r="L37" t="str">
        <f>IF(ISBLANK(NFFT_All[[#This Row],[M7+]]),"",ABS(NFFT_All[[#This Row],[M7+]]-('statistics-M7'!$I44/365)))</f>
        <v/>
      </c>
      <c r="M37" t="e">
        <f>IF(ISBLANK(NFFT_All[[#This Row],[M8+]]),"",ABS(NFFT_All[[#This Row],[M8+]]-('statistics-M8'!$I44/365)))</f>
        <v>#VALUE!</v>
      </c>
      <c r="O37">
        <f>IF(ISBLANK(NFFT_All[[#This Row],[M4+]]),"",ABS(NFFT_All[[#This Row],[M4+]]-('statistics-M4'!$F44/365)))</f>
        <v>1.0144383561643835</v>
      </c>
      <c r="P37">
        <f>IF(ISBLANK(NFFT_All[[#This Row],[M5+]]),"",ABS(NFFT_All[[#This Row],[M5+]]-('statistics-M5'!$F44/365)))</f>
        <v>10.350438356164384</v>
      </c>
      <c r="Q37">
        <f>IF(ISBLANK(NFFT_All[[#This Row],[M6+]]),"",ABS(NFFT_All[[#This Row],[M6+]]-('statistics-M6'!$F44/365)))</f>
        <v>6.8622602739726029</v>
      </c>
      <c r="R37" t="str">
        <f>IF(ISBLANK(NFFT_All[[#This Row],[M7+]]),"",ABS(NFFT_All[[#This Row],[M7+]]-('statistics-M7'!$F44/365)))</f>
        <v/>
      </c>
      <c r="S37" t="e">
        <f>IF(ISBLANK(NFFT_All[[#This Row],[M8+]]),"",ABS(NFFT_All[[#This Row],[M8+]]-('statistics-M8'!$F44/365)))</f>
        <v>#VALUE!</v>
      </c>
      <c r="U37">
        <f>IF(ISBLANK(NFFT_All[[#This Row],[M4+]]),"",ABS(NFFT_All[[#This Row],[M4+]]-('statistics-M4'!$J44/365)))</f>
        <v>0.96786301369863015</v>
      </c>
      <c r="V37">
        <f>IF(ISBLANK(NFFT_All[[#This Row],[M5+]]),"",ABS(NFFT_All[[#This Row],[M5+]]-('statistics-M5'!$J44/365)))</f>
        <v>10.242219178082193</v>
      </c>
      <c r="W37">
        <f>IF(ISBLANK(NFFT_All[[#This Row],[M6+]]),"",ABS(NFFT_All[[#This Row],[M6+]]-('statistics-M6'!$J44/365)))</f>
        <v>4.686917808219178</v>
      </c>
      <c r="X37" t="str">
        <f>IF(ISBLANK(NFFT_All[[#This Row],[M7+]]),"",ABS(NFFT_All[[#This Row],[M7+]]-('statistics-M7'!$J44/365)))</f>
        <v/>
      </c>
      <c r="Y37" t="e">
        <f>IF(ISBLANK(NFFT_All[[#This Row],[M8+]]),"",ABS(NFFT_All[[#This Row],[M8+]]-('statistics-M8'!$J44/365)))</f>
        <v>#VALUE!</v>
      </c>
    </row>
    <row r="38" spans="1:25" x14ac:dyDescent="0.35">
      <c r="A38" t="s">
        <v>24</v>
      </c>
      <c r="B38">
        <v>2</v>
      </c>
      <c r="C38">
        <v>8.6449999999999996</v>
      </c>
      <c r="G38" t="s">
        <v>58</v>
      </c>
      <c r="H38" t="e">
        <f>VALUE(NFFT_All[[#This Row],[M8+]])</f>
        <v>#VALUE!</v>
      </c>
      <c r="I38">
        <f>IF(ISBLANK(NFFT_All[[#This Row],[M4+]]),"",ABS(NFFT_All[[#This Row],[M4+]]-('statistics-M4'!I45/365)))</f>
        <v>4.6806164383561644</v>
      </c>
      <c r="J38" t="str">
        <f>IF(ISBLANK(NFFT_All[[#This Row],[M5+]]),"",ABS(NFFT_All[[#This Row],[M5+]]-('statistics-M5'!$I45/365)))</f>
        <v/>
      </c>
      <c r="K38" t="str">
        <f>IF(ISBLANK(NFFT_All[[#This Row],[M6+]]),"",ABS(NFFT_All[[#This Row],[M6+]]-('statistics-M6'!$I45/365)))</f>
        <v/>
      </c>
      <c r="L38" t="str">
        <f>IF(ISBLANK(NFFT_All[[#This Row],[M7+]]),"",ABS(NFFT_All[[#This Row],[M7+]]-('statistics-M7'!$I45/365)))</f>
        <v/>
      </c>
      <c r="M38" t="e">
        <f>IF(ISBLANK(NFFT_All[[#This Row],[M8+]]),"",ABS(NFFT_All[[#This Row],[M8+]]-('statistics-M8'!$I45/365)))</f>
        <v>#VALUE!</v>
      </c>
      <c r="O38">
        <f>IF(ISBLANK(NFFT_All[[#This Row],[M4+]]),"",ABS(NFFT_All[[#This Row],[M4+]]-('statistics-M4'!$F45/365)))</f>
        <v>7.9902054794520545</v>
      </c>
      <c r="P38" t="str">
        <f>IF(ISBLANK(NFFT_All[[#This Row],[M5+]]),"",ABS(NFFT_All[[#This Row],[M5+]]-('statistics-M5'!$F45/365)))</f>
        <v/>
      </c>
      <c r="Q38" t="str">
        <f>IF(ISBLANK(NFFT_All[[#This Row],[M6+]]),"",ABS(NFFT_All[[#This Row],[M6+]]-('statistics-M6'!$F45/365)))</f>
        <v/>
      </c>
      <c r="R38" t="str">
        <f>IF(ISBLANK(NFFT_All[[#This Row],[M7+]]),"",ABS(NFFT_All[[#This Row],[M7+]]-('statistics-M7'!$F45/365)))</f>
        <v/>
      </c>
      <c r="S38" t="e">
        <f>IF(ISBLANK(NFFT_All[[#This Row],[M8+]]),"",ABS(NFFT_All[[#This Row],[M8+]]-('statistics-M8'!$F45/365)))</f>
        <v>#VALUE!</v>
      </c>
      <c r="U38">
        <f>IF(ISBLANK(NFFT_All[[#This Row],[M4+]]),"",ABS(NFFT_All[[#This Row],[M4+]]-('statistics-M4'!$J45/365)))</f>
        <v>7.1463698630136978</v>
      </c>
      <c r="V38" t="str">
        <f>IF(ISBLANK(NFFT_All[[#This Row],[M5+]]),"",ABS(NFFT_All[[#This Row],[M5+]]-('statistics-M5'!$J45/365)))</f>
        <v/>
      </c>
      <c r="W38" t="str">
        <f>IF(ISBLANK(NFFT_All[[#This Row],[M6+]]),"",ABS(NFFT_All[[#This Row],[M6+]]-('statistics-M6'!$J45/365)))</f>
        <v/>
      </c>
      <c r="X38" t="str">
        <f>IF(ISBLANK(NFFT_All[[#This Row],[M7+]]),"",ABS(NFFT_All[[#This Row],[M7+]]-('statistics-M7'!$J45/365)))</f>
        <v/>
      </c>
      <c r="Y38" t="e">
        <f>IF(ISBLANK(NFFT_All[[#This Row],[M8+]]),"",ABS(NFFT_All[[#This Row],[M8+]]-('statistics-M8'!$J45/365)))</f>
        <v>#VALUE!</v>
      </c>
    </row>
    <row r="39" spans="1:25" x14ac:dyDescent="0.35">
      <c r="A39" t="s">
        <v>25</v>
      </c>
      <c r="B39">
        <v>1</v>
      </c>
      <c r="C39">
        <v>2.02</v>
      </c>
      <c r="D39">
        <v>2.02</v>
      </c>
      <c r="E39">
        <v>2.02</v>
      </c>
      <c r="F39">
        <v>4.1500000000000004</v>
      </c>
      <c r="G39" t="s">
        <v>97</v>
      </c>
      <c r="H39">
        <f>VALUE(NFFT_All[[#This Row],[M8+]])</f>
        <v>24.245000000000001</v>
      </c>
      <c r="I39">
        <f>IF(ISBLANK(NFFT_All[[#This Row],[M4+]]),"",ABS(NFFT_All[[#This Row],[M4+]]-('statistics-M4'!I46/365)))</f>
        <v>1.0722034618243601</v>
      </c>
      <c r="J39">
        <f>IF(ISBLANK(NFFT_All[[#This Row],[M5+]]),"",ABS(NFFT_All[[#This Row],[M5+]]-('statistics-M5'!$I46/365)))</f>
        <v>1.0722034618243601</v>
      </c>
      <c r="K39">
        <f>IF(ISBLANK(NFFT_All[[#This Row],[M6+]]),"",ABS(NFFT_All[[#This Row],[M6+]]-('statistics-M6'!$I46/365)))</f>
        <v>1.0178216932405122</v>
      </c>
      <c r="L39">
        <f>IF(ISBLANK(NFFT_All[[#This Row],[M7+]]),"",ABS(NFFT_All[[#This Row],[M7+]]-('statistics-M7'!$I46/365)))</f>
        <v>1.3496177126473405</v>
      </c>
      <c r="M39">
        <f>IF(ISBLANK(NFFT_All[[#This Row],[M8+]]),"",ABS(NFFT_All[[#This Row],[M8+]]-('statistics-M8'!$I46/365)))</f>
        <v>13.329383561643837</v>
      </c>
      <c r="O39">
        <f>IF(ISBLANK(NFFT_All[[#This Row],[M4+]]),"",ABS(NFFT_All[[#This Row],[M4+]]-('statistics-M4'!$F46/365)))</f>
        <v>1.1734246575342466</v>
      </c>
      <c r="P39">
        <f>IF(ISBLANK(NFFT_All[[#This Row],[M5+]]),"",ABS(NFFT_All[[#This Row],[M5+]]-('statistics-M5'!$F46/365)))</f>
        <v>1.1734246575342466</v>
      </c>
      <c r="Q39">
        <f>IF(ISBLANK(NFFT_All[[#This Row],[M6+]]),"",ABS(NFFT_All[[#This Row],[M6+]]-('statistics-M6'!$F46/365)))</f>
        <v>1.1734246575342466</v>
      </c>
      <c r="R39">
        <f>IF(ISBLANK(NFFT_All[[#This Row],[M7+]]),"",ABS(NFFT_All[[#This Row],[M7+]]-('statistics-M7'!$F46/365)))</f>
        <v>2.1308219178082197</v>
      </c>
      <c r="S39">
        <f>IF(ISBLANK(NFFT_All[[#This Row],[M8+]]),"",ABS(NFFT_All[[#This Row],[M8+]]-('statistics-M8'!$F46/365)))</f>
        <v>22.784726027397262</v>
      </c>
      <c r="U39">
        <f>IF(ISBLANK(NFFT_All[[#This Row],[M4+]]),"",ABS(NFFT_All[[#This Row],[M4+]]-('statistics-M4'!$J46/365)))</f>
        <v>1.1734246575342466</v>
      </c>
      <c r="V39">
        <f>IF(ISBLANK(NFFT_All[[#This Row],[M5+]]),"",ABS(NFFT_All[[#This Row],[M5+]]-('statistics-M5'!$J46/365)))</f>
        <v>1.1734246575342466</v>
      </c>
      <c r="W39">
        <f>IF(ISBLANK(NFFT_All[[#This Row],[M6+]]),"",ABS(NFFT_All[[#This Row],[M6+]]-('statistics-M6'!$J46/365)))</f>
        <v>1.1364383561643836</v>
      </c>
      <c r="X39">
        <f>IF(ISBLANK(NFFT_All[[#This Row],[M7+]]),"",ABS(NFFT_All[[#This Row],[M7+]]-('statistics-M7'!$J46/365)))</f>
        <v>2.1308219178082197</v>
      </c>
      <c r="Y39">
        <f>IF(ISBLANK(NFFT_All[[#This Row],[M8+]]),"",ABS(NFFT_All[[#This Row],[M8+]]-('statistics-M8'!$J46/365)))</f>
        <v>14.309383561643836</v>
      </c>
    </row>
    <row r="40" spans="1:25" x14ac:dyDescent="0.35">
      <c r="A40" t="s">
        <v>25</v>
      </c>
      <c r="B40">
        <v>2</v>
      </c>
      <c r="C40">
        <v>1.91</v>
      </c>
      <c r="D40">
        <v>1.91</v>
      </c>
      <c r="E40">
        <v>4.16</v>
      </c>
      <c r="G40" t="s">
        <v>58</v>
      </c>
      <c r="H40" t="e">
        <f>VALUE(NFFT_All[[#This Row],[M8+]])</f>
        <v>#VALUE!</v>
      </c>
      <c r="I40">
        <f>IF(ISBLANK(NFFT_All[[#This Row],[M4+]]),"",ABS(NFFT_All[[#This Row],[M4+]]-('statistics-M4'!I47/365)))</f>
        <v>0.74866828507022709</v>
      </c>
      <c r="J40">
        <f>IF(ISBLANK(NFFT_All[[#This Row],[M5+]]),"",ABS(NFFT_All[[#This Row],[M5+]]-('statistics-M5'!$I47/365)))</f>
        <v>0.74866828507022709</v>
      </c>
      <c r="K40">
        <f>IF(ISBLANK(NFFT_All[[#This Row],[M6+]]),"",ABS(NFFT_All[[#This Row],[M6+]]-('statistics-M6'!$I47/365)))</f>
        <v>1.741340244353943</v>
      </c>
      <c r="L40" t="str">
        <f>IF(ISBLANK(NFFT_All[[#This Row],[M7+]]),"",ABS(NFFT_All[[#This Row],[M7+]]-('statistics-M7'!$I47/365)))</f>
        <v/>
      </c>
      <c r="M40" t="e">
        <f>IF(ISBLANK(NFFT_All[[#This Row],[M8+]]),"",ABS(NFFT_All[[#This Row],[M8+]]-('statistics-M8'!$I47/365)))</f>
        <v>#VALUE!</v>
      </c>
      <c r="O40">
        <f>IF(ISBLANK(NFFT_All[[#This Row],[M4+]]),"",ABS(NFFT_All[[#This Row],[M4+]]-('statistics-M4'!$F47/365)))</f>
        <v>1.375753424657534</v>
      </c>
      <c r="P40">
        <f>IF(ISBLANK(NFFT_All[[#This Row],[M5+]]),"",ABS(NFFT_All[[#This Row],[M5+]]-('statistics-M5'!$F47/365)))</f>
        <v>1.375753424657534</v>
      </c>
      <c r="Q40">
        <f>IF(ISBLANK(NFFT_All[[#This Row],[M6+]]),"",ABS(NFFT_All[[#This Row],[M6+]]-('statistics-M6'!$F47/365)))</f>
        <v>3.6367123287671235</v>
      </c>
      <c r="R40" t="str">
        <f>IF(ISBLANK(NFFT_All[[#This Row],[M7+]]),"",ABS(NFFT_All[[#This Row],[M7+]]-('statistics-M7'!$F47/365)))</f>
        <v/>
      </c>
      <c r="S40" t="e">
        <f>IF(ISBLANK(NFFT_All[[#This Row],[M8+]]),"",ABS(NFFT_All[[#This Row],[M8+]]-('statistics-M8'!$F47/365)))</f>
        <v>#VALUE!</v>
      </c>
      <c r="U40">
        <f>IF(ISBLANK(NFFT_All[[#This Row],[M4+]]),"",ABS(NFFT_All[[#This Row],[M4+]]-('statistics-M4'!$J47/365)))</f>
        <v>1.0853424657534245</v>
      </c>
      <c r="V40">
        <f>IF(ISBLANK(NFFT_All[[#This Row],[M5+]]),"",ABS(NFFT_All[[#This Row],[M5+]]-('statistics-M5'!$J47/365)))</f>
        <v>1.0853424657534245</v>
      </c>
      <c r="W40">
        <f>IF(ISBLANK(NFFT_All[[#This Row],[M6+]]),"",ABS(NFFT_All[[#This Row],[M6+]]-('statistics-M6'!$J47/365)))</f>
        <v>2.3106849315068496</v>
      </c>
      <c r="X40" t="str">
        <f>IF(ISBLANK(NFFT_All[[#This Row],[M7+]]),"",ABS(NFFT_All[[#This Row],[M7+]]-('statistics-M7'!$J47/365)))</f>
        <v/>
      </c>
      <c r="Y40" t="e">
        <f>IF(ISBLANK(NFFT_All[[#This Row],[M8+]]),"",ABS(NFFT_All[[#This Row],[M8+]]-('statistics-M8'!$J47/365)))</f>
        <v>#VALUE!</v>
      </c>
    </row>
    <row r="41" spans="1:25" x14ac:dyDescent="0.35">
      <c r="A41" t="s">
        <v>25</v>
      </c>
      <c r="B41">
        <v>3</v>
      </c>
      <c r="C41">
        <v>2.19</v>
      </c>
      <c r="D41">
        <v>2.19</v>
      </c>
      <c r="G41" t="s">
        <v>58</v>
      </c>
      <c r="H41" t="e">
        <f>VALUE(NFFT_All[[#This Row],[M8+]])</f>
        <v>#VALUE!</v>
      </c>
      <c r="I41">
        <f>IF(ISBLANK(NFFT_All[[#This Row],[M4+]]),"",ABS(NFFT_All[[#This Row],[M4+]]-('statistics-M4'!I48/365)))</f>
        <v>0.70175628705786131</v>
      </c>
      <c r="J41">
        <f>IF(ISBLANK(NFFT_All[[#This Row],[M5+]]),"",ABS(NFFT_All[[#This Row],[M5+]]-('statistics-M5'!$I48/365)))</f>
        <v>0.70175628705786131</v>
      </c>
      <c r="K41" t="str">
        <f>IF(ISBLANK(NFFT_All[[#This Row],[M6+]]),"",ABS(NFFT_All[[#This Row],[M6+]]-('statistics-M6'!$I48/365)))</f>
        <v/>
      </c>
      <c r="L41" t="str">
        <f>IF(ISBLANK(NFFT_All[[#This Row],[M7+]]),"",ABS(NFFT_All[[#This Row],[M7+]]-('statistics-M7'!$I48/365)))</f>
        <v/>
      </c>
      <c r="M41" t="e">
        <f>IF(ISBLANK(NFFT_All[[#This Row],[M8+]]),"",ABS(NFFT_All[[#This Row],[M8+]]-('statistics-M8'!$I48/365)))</f>
        <v>#VALUE!</v>
      </c>
      <c r="O41">
        <f>IF(ISBLANK(NFFT_All[[#This Row],[M4+]]),"",ABS(NFFT_All[[#This Row],[M4+]]-('statistics-M4'!$F48/365)))</f>
        <v>1.5269863013698628</v>
      </c>
      <c r="P41">
        <f>IF(ISBLANK(NFFT_All[[#This Row],[M5+]]),"",ABS(NFFT_All[[#This Row],[M5+]]-('statistics-M5'!$F48/365)))</f>
        <v>1.5269863013698628</v>
      </c>
      <c r="Q41" t="str">
        <f>IF(ISBLANK(NFFT_All[[#This Row],[M6+]]),"",ABS(NFFT_All[[#This Row],[M6+]]-('statistics-M6'!$F48/365)))</f>
        <v/>
      </c>
      <c r="R41" t="str">
        <f>IF(ISBLANK(NFFT_All[[#This Row],[M7+]]),"",ABS(NFFT_All[[#This Row],[M7+]]-('statistics-M7'!$F48/365)))</f>
        <v/>
      </c>
      <c r="S41" t="e">
        <f>IF(ISBLANK(NFFT_All[[#This Row],[M8+]]),"",ABS(NFFT_All[[#This Row],[M8+]]-('statistics-M8'!$F48/365)))</f>
        <v>#VALUE!</v>
      </c>
      <c r="U41">
        <f>IF(ISBLANK(NFFT_All[[#This Row],[M4+]]),"",ABS(NFFT_All[[#This Row],[M4+]]-('statistics-M4'!$J48/365)))</f>
        <v>1.39</v>
      </c>
      <c r="V41">
        <f>IF(ISBLANK(NFFT_All[[#This Row],[M5+]]),"",ABS(NFFT_All[[#This Row],[M5+]]-('statistics-M5'!$J48/365)))</f>
        <v>1.39</v>
      </c>
      <c r="W41" t="str">
        <f>IF(ISBLANK(NFFT_All[[#This Row],[M6+]]),"",ABS(NFFT_All[[#This Row],[M6+]]-('statistics-M6'!$J48/365)))</f>
        <v/>
      </c>
      <c r="X41" t="str">
        <f>IF(ISBLANK(NFFT_All[[#This Row],[M7+]]),"",ABS(NFFT_All[[#This Row],[M7+]]-('statistics-M7'!$J48/365)))</f>
        <v/>
      </c>
      <c r="Y41" t="e">
        <f>IF(ISBLANK(NFFT_All[[#This Row],[M8+]]),"",ABS(NFFT_All[[#This Row],[M8+]]-('statistics-M8'!$J48/365)))</f>
        <v>#VALUE!</v>
      </c>
    </row>
    <row r="42" spans="1:25" x14ac:dyDescent="0.35">
      <c r="A42" t="s">
        <v>26</v>
      </c>
      <c r="B42">
        <v>1</v>
      </c>
      <c r="C42">
        <v>2.6139999999999999</v>
      </c>
      <c r="D42">
        <v>2.6139999999999999</v>
      </c>
      <c r="E42">
        <v>8.3320000000000007</v>
      </c>
      <c r="G42" t="s">
        <v>57</v>
      </c>
      <c r="H42" t="e">
        <f>VALUE(NFFT_All[[#This Row],[M8+]])</f>
        <v>#VALUE!</v>
      </c>
      <c r="I42">
        <f>IF(ISBLANK(NFFT_All[[#This Row],[M4+]]),"",ABS(NFFT_All[[#This Row],[M4+]]-('statistics-M4'!I49/365)))</f>
        <v>1.2385507916740792</v>
      </c>
      <c r="J42">
        <f>IF(ISBLANK(NFFT_All[[#This Row],[M5+]]),"",ABS(NFFT_All[[#This Row],[M5+]]-('statistics-M5'!$I49/365)))</f>
        <v>1.2385507916740792</v>
      </c>
      <c r="K42">
        <f>IF(ISBLANK(NFFT_All[[#This Row],[M6+]]),"",ABS(NFFT_All[[#This Row],[M6+]]-('statistics-M6'!$I49/365)))</f>
        <v>3.5953872976338737</v>
      </c>
      <c r="L42" t="str">
        <f>IF(ISBLANK(NFFT_All[[#This Row],[M7+]]),"",ABS(NFFT_All[[#This Row],[M7+]]-('statistics-M7'!$I49/365)))</f>
        <v/>
      </c>
      <c r="M42" t="e">
        <f>IF(ISBLANK(NFFT_All[[#This Row],[M8+]]),"",ABS(NFFT_All[[#This Row],[M8+]]-('statistics-M8'!$I49/365)))</f>
        <v>#VALUE!</v>
      </c>
      <c r="O42">
        <f>IF(ISBLANK(NFFT_All[[#This Row],[M4+]]),"",ABS(NFFT_All[[#This Row],[M4+]]-('statistics-M4'!$F49/365)))</f>
        <v>1.8249589041095891</v>
      </c>
      <c r="P42">
        <f>IF(ISBLANK(NFFT_All[[#This Row],[M5+]]),"",ABS(NFFT_All[[#This Row],[M5+]]-('statistics-M5'!$F49/365)))</f>
        <v>1.8249589041095891</v>
      </c>
      <c r="Q42">
        <f>IF(ISBLANK(NFFT_All[[#This Row],[M6+]]),"",ABS(NFFT_All[[#This Row],[M6+]]-('statistics-M6'!$F49/365)))</f>
        <v>5.7950136986301377</v>
      </c>
      <c r="R42" t="str">
        <f>IF(ISBLANK(NFFT_All[[#This Row],[M7+]]),"",ABS(NFFT_All[[#This Row],[M7+]]-('statistics-M7'!$F49/365)))</f>
        <v/>
      </c>
      <c r="S42" t="e">
        <f>IF(ISBLANK(NFFT_All[[#This Row],[M8+]]),"",ABS(NFFT_All[[#This Row],[M8+]]-('statistics-M8'!$F49/365)))</f>
        <v>#VALUE!</v>
      </c>
      <c r="U42">
        <f>IF(ISBLANK(NFFT_All[[#This Row],[M4+]]),"",ABS(NFFT_All[[#This Row],[M4+]]-('statistics-M4'!$J49/365)))</f>
        <v>1.7592054794520546</v>
      </c>
      <c r="V42">
        <f>IF(ISBLANK(NFFT_All[[#This Row],[M5+]]),"",ABS(NFFT_All[[#This Row],[M5+]]-('statistics-M5'!$J49/365)))</f>
        <v>1.7592054794520546</v>
      </c>
      <c r="W42">
        <f>IF(ISBLANK(NFFT_All[[#This Row],[M6+]]),"",ABS(NFFT_All[[#This Row],[M6+]]-('statistics-M6'!$J49/365)))</f>
        <v>5.1730958904109592</v>
      </c>
      <c r="X42" t="str">
        <f>IF(ISBLANK(NFFT_All[[#This Row],[M7+]]),"",ABS(NFFT_All[[#This Row],[M7+]]-('statistics-M7'!$J49/365)))</f>
        <v/>
      </c>
      <c r="Y42" t="e">
        <f>IF(ISBLANK(NFFT_All[[#This Row],[M8+]]),"",ABS(NFFT_All[[#This Row],[M8+]]-('statistics-M8'!$J49/365)))</f>
        <v>#VALUE!</v>
      </c>
    </row>
    <row r="43" spans="1:25" x14ac:dyDescent="0.35">
      <c r="A43" t="s">
        <v>26</v>
      </c>
      <c r="B43">
        <v>2</v>
      </c>
      <c r="C43">
        <v>2.2850000000000001</v>
      </c>
      <c r="D43">
        <v>2.2850000000000001</v>
      </c>
      <c r="E43">
        <v>7.0190000000000001</v>
      </c>
      <c r="G43" t="s">
        <v>57</v>
      </c>
      <c r="H43" t="e">
        <f>VALUE(NFFT_All[[#This Row],[M8+]])</f>
        <v>#VALUE!</v>
      </c>
      <c r="I43">
        <f>IF(ISBLANK(NFFT_All[[#This Row],[M4+]]),"",ABS(NFFT_All[[#This Row],[M4+]]-('statistics-M4'!I50/365)))</f>
        <v>0.84346734167162984</v>
      </c>
      <c r="J43">
        <f>IF(ISBLANK(NFFT_All[[#This Row],[M5+]]),"",ABS(NFFT_All[[#This Row],[M5+]]-('statistics-M5'!$I50/365)))</f>
        <v>0.84346734167162984</v>
      </c>
      <c r="K43">
        <f>IF(ISBLANK(NFFT_All[[#This Row],[M6+]]),"",ABS(NFFT_All[[#This Row],[M6+]]-('statistics-M6'!$I50/365)))</f>
        <v>4.9122602739726027</v>
      </c>
      <c r="L43" t="str">
        <f>IF(ISBLANK(NFFT_All[[#This Row],[M7+]]),"",ABS(NFFT_All[[#This Row],[M7+]]-('statistics-M7'!$I50/365)))</f>
        <v/>
      </c>
      <c r="M43" t="e">
        <f>IF(ISBLANK(NFFT_All[[#This Row],[M8+]]),"",ABS(NFFT_All[[#This Row],[M8+]]-('statistics-M8'!$I50/365)))</f>
        <v>#VALUE!</v>
      </c>
      <c r="O43">
        <f>IF(ISBLANK(NFFT_All[[#This Row],[M4+]]),"",ABS(NFFT_All[[#This Row],[M4+]]-('statistics-M4'!$F50/365)))</f>
        <v>1.7425342465753426</v>
      </c>
      <c r="P43">
        <f>IF(ISBLANK(NFFT_All[[#This Row],[M5+]]),"",ABS(NFFT_All[[#This Row],[M5+]]-('statistics-M5'!$F50/365)))</f>
        <v>1.7425342465753426</v>
      </c>
      <c r="Q43">
        <f>IF(ISBLANK(NFFT_All[[#This Row],[M6+]]),"",ABS(NFFT_All[[#This Row],[M6+]]-('statistics-M6'!$F50/365)))</f>
        <v>6.4765342465753424</v>
      </c>
      <c r="R43" t="str">
        <f>IF(ISBLANK(NFFT_All[[#This Row],[M7+]]),"",ABS(NFFT_All[[#This Row],[M7+]]-('statistics-M7'!$F50/365)))</f>
        <v/>
      </c>
      <c r="S43" t="e">
        <f>IF(ISBLANK(NFFT_All[[#This Row],[M8+]]),"",ABS(NFFT_All[[#This Row],[M8+]]-('statistics-M8'!$F50/365)))</f>
        <v>#VALUE!</v>
      </c>
      <c r="U43">
        <f>IF(ISBLANK(NFFT_All[[#This Row],[M4+]]),"",ABS(NFFT_All[[#This Row],[M4+]]-('statistics-M4'!$J50/365)))</f>
        <v>1.4603424657534247</v>
      </c>
      <c r="V43">
        <f>IF(ISBLANK(NFFT_All[[#This Row],[M5+]]),"",ABS(NFFT_All[[#This Row],[M5+]]-('statistics-M5'!$J50/365)))</f>
        <v>1.4603424657534247</v>
      </c>
      <c r="W43">
        <f>IF(ISBLANK(NFFT_All[[#This Row],[M6+]]),"",ABS(NFFT_All[[#This Row],[M6+]]-('statistics-M6'!$J50/365)))</f>
        <v>5.128589041095891</v>
      </c>
      <c r="X43" t="str">
        <f>IF(ISBLANK(NFFT_All[[#This Row],[M7+]]),"",ABS(NFFT_All[[#This Row],[M7+]]-('statistics-M7'!$J50/365)))</f>
        <v/>
      </c>
      <c r="Y43" t="e">
        <f>IF(ISBLANK(NFFT_All[[#This Row],[M8+]]),"",ABS(NFFT_All[[#This Row],[M8+]]-('statistics-M8'!$J50/365)))</f>
        <v>#VALUE!</v>
      </c>
    </row>
    <row r="44" spans="1:25" x14ac:dyDescent="0.35">
      <c r="A44" t="s">
        <v>26</v>
      </c>
      <c r="B44">
        <v>3</v>
      </c>
      <c r="C44">
        <v>2.0840000000000001</v>
      </c>
      <c r="D44">
        <v>2.8929999999999998</v>
      </c>
      <c r="E44">
        <v>5.5339999999999998</v>
      </c>
      <c r="G44" t="s">
        <v>57</v>
      </c>
      <c r="H44" t="e">
        <f>VALUE(NFFT_All[[#This Row],[M8+]])</f>
        <v>#VALUE!</v>
      </c>
      <c r="I44">
        <f>IF(ISBLANK(NFFT_All[[#This Row],[M4+]]),"",ABS(NFFT_All[[#This Row],[M4+]]-('statistics-M4'!I51/365)))</f>
        <v>0.25138842244807802</v>
      </c>
      <c r="J44">
        <f>IF(ISBLANK(NFFT_All[[#This Row],[M5+]]),"",ABS(NFFT_All[[#This Row],[M5+]]-('statistics-M5'!$I51/365)))</f>
        <v>0.58900223651104255</v>
      </c>
      <c r="K44">
        <f>IF(ISBLANK(NFFT_All[[#This Row],[M6+]]),"",ABS(NFFT_All[[#This Row],[M6+]]-('statistics-M6'!$I51/365)))</f>
        <v>0.92007305936073092</v>
      </c>
      <c r="L44" t="str">
        <f>IF(ISBLANK(NFFT_All[[#This Row],[M7+]]),"",ABS(NFFT_All[[#This Row],[M7+]]-('statistics-M7'!$I51/365)))</f>
        <v/>
      </c>
      <c r="M44" t="e">
        <f>IF(ISBLANK(NFFT_All[[#This Row],[M8+]]),"",ABS(NFFT_All[[#This Row],[M8+]]-('statistics-M8'!$I51/365)))</f>
        <v>#VALUE!</v>
      </c>
      <c r="O44">
        <f>IF(ISBLANK(NFFT_All[[#This Row],[M4+]]),"",ABS(NFFT_All[[#This Row],[M4+]]-('statistics-M4'!$F51/365)))</f>
        <v>1.4456438356164383</v>
      </c>
      <c r="P44">
        <f>IF(ISBLANK(NFFT_All[[#This Row],[M5+]]),"",ABS(NFFT_All[[#This Row],[M5+]]-('statistics-M5'!$F51/365)))</f>
        <v>2.254643835616438</v>
      </c>
      <c r="Q44">
        <f>IF(ISBLANK(NFFT_All[[#This Row],[M6+]]),"",ABS(NFFT_All[[#This Row],[M6+]]-('statistics-M6'!$F51/365)))</f>
        <v>4.9942739726027394</v>
      </c>
      <c r="R44" t="str">
        <f>IF(ISBLANK(NFFT_All[[#This Row],[M7+]]),"",ABS(NFFT_All[[#This Row],[M7+]]-('statistics-M7'!$F51/365)))</f>
        <v/>
      </c>
      <c r="S44" t="e">
        <f>IF(ISBLANK(NFFT_All[[#This Row],[M8+]]),"",ABS(NFFT_All[[#This Row],[M8+]]-('statistics-M8'!$F51/365)))</f>
        <v>#VALUE!</v>
      </c>
      <c r="U44">
        <f>IF(ISBLANK(NFFT_All[[#This Row],[M4+]]),"",ABS(NFFT_All[[#This Row],[M4+]]-('statistics-M4'!$J51/365)))</f>
        <v>1.1374246575342466</v>
      </c>
      <c r="V44">
        <f>IF(ISBLANK(NFFT_All[[#This Row],[M5+]]),"",ABS(NFFT_All[[#This Row],[M5+]]-('statistics-M5'!$J51/365)))</f>
        <v>1.7094383561643833</v>
      </c>
      <c r="W44">
        <f>IF(ISBLANK(NFFT_All[[#This Row],[M6+]]),"",ABS(NFFT_All[[#This Row],[M6+]]-('statistics-M6'!$J51/365)))</f>
        <v>3.0079726027397258</v>
      </c>
      <c r="X44" t="str">
        <f>IF(ISBLANK(NFFT_All[[#This Row],[M7+]]),"",ABS(NFFT_All[[#This Row],[M7+]]-('statistics-M7'!$J51/365)))</f>
        <v/>
      </c>
      <c r="Y44" t="e">
        <f>IF(ISBLANK(NFFT_All[[#This Row],[M8+]]),"",ABS(NFFT_All[[#This Row],[M8+]]-('statistics-M8'!$J51/365)))</f>
        <v>#VALUE!</v>
      </c>
    </row>
    <row r="45" spans="1:25" x14ac:dyDescent="0.35">
      <c r="A45" t="s">
        <v>27</v>
      </c>
      <c r="B45">
        <v>1</v>
      </c>
      <c r="C45">
        <v>2.84</v>
      </c>
      <c r="D45">
        <v>2.84</v>
      </c>
      <c r="E45">
        <v>29.818000000000001</v>
      </c>
      <c r="F45">
        <v>29.443000000000001</v>
      </c>
      <c r="G45" t="s">
        <v>57</v>
      </c>
      <c r="H45" t="e">
        <f>VALUE(NFFT_All[[#This Row],[M8+]])</f>
        <v>#VALUE!</v>
      </c>
      <c r="I45">
        <f>IF(ISBLANK(NFFT_All[[#This Row],[M4+]]),"",ABS(NFFT_All[[#This Row],[M4+]]-('statistics-M4'!I52/365)))</f>
        <v>1.7745401174168296</v>
      </c>
      <c r="J45">
        <f>IF(ISBLANK(NFFT_All[[#This Row],[M5+]]),"",ABS(NFFT_All[[#This Row],[M5+]]-('statistics-M5'!$I52/365)))</f>
        <v>1.7745401174168296</v>
      </c>
      <c r="K45">
        <f>IF(ISBLANK(NFFT_All[[#This Row],[M6+]]),"",ABS(NFFT_All[[#This Row],[M6+]]-('statistics-M6'!$I52/365)))</f>
        <v>28.520918403811795</v>
      </c>
      <c r="L45">
        <f>IF(ISBLANK(NFFT_All[[#This Row],[M7+]]),"",ABS(NFFT_All[[#This Row],[M7+]]-('statistics-M7'!$I52/365)))</f>
        <v>25.760808219178084</v>
      </c>
      <c r="M45" t="e">
        <f>IF(ISBLANK(NFFT_All[[#This Row],[M8+]]),"",ABS(NFFT_All[[#This Row],[M8+]]-('statistics-M8'!$I52/365)))</f>
        <v>#VALUE!</v>
      </c>
      <c r="O45">
        <f>IF(ISBLANK(NFFT_All[[#This Row],[M4+]]),"",ABS(NFFT_All[[#This Row],[M4+]]-('statistics-M4'!$F52/365)))</f>
        <v>2.2098630136986301</v>
      </c>
      <c r="P45">
        <f>IF(ISBLANK(NFFT_All[[#This Row],[M5+]]),"",ABS(NFFT_All[[#This Row],[M5+]]-('statistics-M5'!$F52/365)))</f>
        <v>2.2098630136986301</v>
      </c>
      <c r="Q45">
        <f>IF(ISBLANK(NFFT_All[[#This Row],[M6+]]),"",ABS(NFFT_All[[#This Row],[M6+]]-('statistics-M6'!$F52/365)))</f>
        <v>29.163205479452056</v>
      </c>
      <c r="R45">
        <f>IF(ISBLANK(NFFT_All[[#This Row],[M7+]]),"",ABS(NFFT_All[[#This Row],[M7+]]-('statistics-M7'!$F52/365)))</f>
        <v>28.91423287671233</v>
      </c>
      <c r="S45" t="e">
        <f>IF(ISBLANK(NFFT_All[[#This Row],[M8+]]),"",ABS(NFFT_All[[#This Row],[M8+]]-('statistics-M8'!$F52/365)))</f>
        <v>#VALUE!</v>
      </c>
      <c r="U45">
        <f>IF(ISBLANK(NFFT_All[[#This Row],[M4+]]),"",ABS(NFFT_All[[#This Row],[M4+]]-('statistics-M4'!$J52/365)))</f>
        <v>1.929041095890411</v>
      </c>
      <c r="V45">
        <f>IF(ISBLANK(NFFT_All[[#This Row],[M5+]]),"",ABS(NFFT_All[[#This Row],[M5+]]-('statistics-M5'!$J52/365)))</f>
        <v>1.929041095890411</v>
      </c>
      <c r="W45">
        <f>IF(ISBLANK(NFFT_All[[#This Row],[M6+]]),"",ABS(NFFT_All[[#This Row],[M6+]]-('statistics-M6'!$J52/365)))</f>
        <v>28.753616438356165</v>
      </c>
      <c r="X45">
        <f>IF(ISBLANK(NFFT_All[[#This Row],[M7+]]),"",ABS(NFFT_All[[#This Row],[M7+]]-('statistics-M7'!$J52/365)))</f>
        <v>26.125191780821918</v>
      </c>
      <c r="Y45" t="e">
        <f>IF(ISBLANK(NFFT_All[[#This Row],[M8+]]),"",ABS(NFFT_All[[#This Row],[M8+]]-('statistics-M8'!$J52/365)))</f>
        <v>#VALUE!</v>
      </c>
    </row>
    <row r="46" spans="1:25" x14ac:dyDescent="0.35">
      <c r="A46" t="s">
        <v>27</v>
      </c>
      <c r="B46">
        <v>2</v>
      </c>
      <c r="C46">
        <v>6.7409999999999997</v>
      </c>
      <c r="G46" t="s">
        <v>58</v>
      </c>
      <c r="H46" t="e">
        <f>VALUE(NFFT_All[[#This Row],[M8+]])</f>
        <v>#VALUE!</v>
      </c>
      <c r="I46">
        <f>IF(ISBLANK(NFFT_All[[#This Row],[M4+]]),"",ABS(NFFT_All[[#This Row],[M4+]]-('statistics-M4'!I53/365)))</f>
        <v>3.9308021308980212</v>
      </c>
      <c r="J46" t="str">
        <f>IF(ISBLANK(NFFT_All[[#This Row],[M5+]]),"",ABS(NFFT_All[[#This Row],[M5+]]-('statistics-M5'!$I53/365)))</f>
        <v/>
      </c>
      <c r="K46" t="str">
        <f>IF(ISBLANK(NFFT_All[[#This Row],[M6+]]),"",ABS(NFFT_All[[#This Row],[M6+]]-('statistics-M6'!$I53/365)))</f>
        <v/>
      </c>
      <c r="L46" t="str">
        <f>IF(ISBLANK(NFFT_All[[#This Row],[M7+]]),"",ABS(NFFT_All[[#This Row],[M7+]]-('statistics-M7'!$I53/365)))</f>
        <v/>
      </c>
      <c r="M46" t="e">
        <f>IF(ISBLANK(NFFT_All[[#This Row],[M8+]]),"",ABS(NFFT_All[[#This Row],[M8+]]-('statistics-M8'!$I53/365)))</f>
        <v>#VALUE!</v>
      </c>
      <c r="O46">
        <f>IF(ISBLANK(NFFT_All[[#This Row],[M4+]]),"",ABS(NFFT_All[[#This Row],[M4+]]-('statistics-M4'!$F53/365)))</f>
        <v>6.1574383561643833</v>
      </c>
      <c r="P46" t="str">
        <f>IF(ISBLANK(NFFT_All[[#This Row],[M5+]]),"",ABS(NFFT_All[[#This Row],[M5+]]-('statistics-M5'!$F53/365)))</f>
        <v/>
      </c>
      <c r="Q46" t="str">
        <f>IF(ISBLANK(NFFT_All[[#This Row],[M6+]]),"",ABS(NFFT_All[[#This Row],[M6+]]-('statistics-M6'!$F53/365)))</f>
        <v/>
      </c>
      <c r="R46" t="str">
        <f>IF(ISBLANK(NFFT_All[[#This Row],[M7+]]),"",ABS(NFFT_All[[#This Row],[M7+]]-('statistics-M7'!$F53/365)))</f>
        <v/>
      </c>
      <c r="S46" t="e">
        <f>IF(ISBLANK(NFFT_All[[#This Row],[M8+]]),"",ABS(NFFT_All[[#This Row],[M8+]]-('statistics-M8'!$F53/365)))</f>
        <v>#VALUE!</v>
      </c>
      <c r="U46">
        <f>IF(ISBLANK(NFFT_All[[#This Row],[M4+]]),"",ABS(NFFT_All[[#This Row],[M4+]]-('statistics-M4'!$J53/365)))</f>
        <v>4.3807260273972606</v>
      </c>
      <c r="V46" t="str">
        <f>IF(ISBLANK(NFFT_All[[#This Row],[M5+]]),"",ABS(NFFT_All[[#This Row],[M5+]]-('statistics-M5'!$J53/365)))</f>
        <v/>
      </c>
      <c r="W46" t="str">
        <f>IF(ISBLANK(NFFT_All[[#This Row],[M6+]]),"",ABS(NFFT_All[[#This Row],[M6+]]-('statistics-M6'!$J53/365)))</f>
        <v/>
      </c>
      <c r="X46" t="str">
        <f>IF(ISBLANK(NFFT_All[[#This Row],[M7+]]),"",ABS(NFFT_All[[#This Row],[M7+]]-('statistics-M7'!$J53/365)))</f>
        <v/>
      </c>
      <c r="Y46" t="e">
        <f>IF(ISBLANK(NFFT_All[[#This Row],[M8+]]),"",ABS(NFFT_All[[#This Row],[M8+]]-('statistics-M8'!$J53/365)))</f>
        <v>#VALUE!</v>
      </c>
    </row>
    <row r="47" spans="1:25" x14ac:dyDescent="0.35">
      <c r="A47" t="s">
        <v>27</v>
      </c>
      <c r="B47">
        <v>3</v>
      </c>
      <c r="C47">
        <v>5.22</v>
      </c>
      <c r="G47" t="s">
        <v>58</v>
      </c>
      <c r="H47" t="e">
        <f>VALUE(NFFT_All[[#This Row],[M8+]])</f>
        <v>#VALUE!</v>
      </c>
      <c r="I47">
        <f>IF(ISBLANK(NFFT_All[[#This Row],[M4+]]),"",ABS(NFFT_All[[#This Row],[M4+]]-('statistics-M4'!I54/365)))</f>
        <v>2.0114014752370926</v>
      </c>
      <c r="J47" t="str">
        <f>IF(ISBLANK(NFFT_All[[#This Row],[M5+]]),"",ABS(NFFT_All[[#This Row],[M5+]]-('statistics-M5'!$I54/365)))</f>
        <v/>
      </c>
      <c r="K47" t="str">
        <f>IF(ISBLANK(NFFT_All[[#This Row],[M6+]]),"",ABS(NFFT_All[[#This Row],[M6+]]-('statistics-M6'!$I54/365)))</f>
        <v/>
      </c>
      <c r="L47" t="str">
        <f>IF(ISBLANK(NFFT_All[[#This Row],[M7+]]),"",ABS(NFFT_All[[#This Row],[M7+]]-('statistics-M7'!$I54/365)))</f>
        <v/>
      </c>
      <c r="M47" t="e">
        <f>IF(ISBLANK(NFFT_All[[#This Row],[M8+]]),"",ABS(NFFT_All[[#This Row],[M8+]]-('statistics-M8'!$I54/365)))</f>
        <v>#VALUE!</v>
      </c>
      <c r="O47">
        <f>IF(ISBLANK(NFFT_All[[#This Row],[M4+]]),"",ABS(NFFT_All[[#This Row],[M4+]]-('statistics-M4'!$F54/365)))</f>
        <v>4.5487671232876714</v>
      </c>
      <c r="P47" t="str">
        <f>IF(ISBLANK(NFFT_All[[#This Row],[M5+]]),"",ABS(NFFT_All[[#This Row],[M5+]]-('statistics-M5'!$F54/365)))</f>
        <v/>
      </c>
      <c r="Q47" t="str">
        <f>IF(ISBLANK(NFFT_All[[#This Row],[M6+]]),"",ABS(NFFT_All[[#This Row],[M6+]]-('statistics-M6'!$F54/365)))</f>
        <v/>
      </c>
      <c r="R47" t="str">
        <f>IF(ISBLANK(NFFT_All[[#This Row],[M7+]]),"",ABS(NFFT_All[[#This Row],[M7+]]-('statistics-M7'!$F54/365)))</f>
        <v/>
      </c>
      <c r="S47" t="e">
        <f>IF(ISBLANK(NFFT_All[[#This Row],[M8+]]),"",ABS(NFFT_All[[#This Row],[M8+]]-('statistics-M8'!$F54/365)))</f>
        <v>#VALUE!</v>
      </c>
      <c r="U47">
        <f>IF(ISBLANK(NFFT_All[[#This Row],[M4+]]),"",ABS(NFFT_All[[#This Row],[M4+]]-('statistics-M4'!$J54/365)))</f>
        <v>2.9515068493150682</v>
      </c>
      <c r="V47" t="str">
        <f>IF(ISBLANK(NFFT_All[[#This Row],[M5+]]),"",ABS(NFFT_All[[#This Row],[M5+]]-('statistics-M5'!$J54/365)))</f>
        <v/>
      </c>
      <c r="W47" t="str">
        <f>IF(ISBLANK(NFFT_All[[#This Row],[M6+]]),"",ABS(NFFT_All[[#This Row],[M6+]]-('statistics-M6'!$J54/365)))</f>
        <v/>
      </c>
      <c r="X47" t="str">
        <f>IF(ISBLANK(NFFT_All[[#This Row],[M7+]]),"",ABS(NFFT_All[[#This Row],[M7+]]-('statistics-M7'!$J54/365)))</f>
        <v/>
      </c>
      <c r="Y47" t="e">
        <f>IF(ISBLANK(NFFT_All[[#This Row],[M8+]]),"",ABS(NFFT_All[[#This Row],[M8+]]-('statistics-M8'!$J54/365)))</f>
        <v>#VALUE!</v>
      </c>
    </row>
    <row r="48" spans="1:25" x14ac:dyDescent="0.35">
      <c r="A48" t="s">
        <v>28</v>
      </c>
      <c r="B48">
        <v>1</v>
      </c>
      <c r="C48">
        <v>18.236999999999998</v>
      </c>
      <c r="D48">
        <v>18.236999999999998</v>
      </c>
      <c r="E48">
        <v>20.331</v>
      </c>
      <c r="G48" t="s">
        <v>57</v>
      </c>
      <c r="H48" t="e">
        <f>VALUE(NFFT_All[[#This Row],[M8+]])</f>
        <v>#VALUE!</v>
      </c>
      <c r="I48">
        <f>IF(ISBLANK(NFFT_All[[#This Row],[M4+]]),"",ABS(NFFT_All[[#This Row],[M4+]]-('statistics-M4'!I55/365)))</f>
        <v>16.716522304179836</v>
      </c>
      <c r="J48">
        <f>IF(ISBLANK(NFFT_All[[#This Row],[M5+]]),"",ABS(NFFT_All[[#This Row],[M5+]]-('statistics-M5'!$I55/365)))</f>
        <v>16.716522304179836</v>
      </c>
      <c r="K48">
        <f>IF(ISBLANK(NFFT_All[[#This Row],[M6+]]),"",ABS(NFFT_All[[#This Row],[M6+]]-('statistics-M6'!$I55/365)))</f>
        <v>17.534150684931507</v>
      </c>
      <c r="L48" t="str">
        <f>IF(ISBLANK(NFFT_All[[#This Row],[M7+]]),"",ABS(NFFT_All[[#This Row],[M7+]]-('statistics-M7'!$I55/365)))</f>
        <v/>
      </c>
      <c r="M48" t="e">
        <f>IF(ISBLANK(NFFT_All[[#This Row],[M8+]]),"",ABS(NFFT_All[[#This Row],[M8+]]-('statistics-M8'!$I55/365)))</f>
        <v>#VALUE!</v>
      </c>
      <c r="O48">
        <f>IF(ISBLANK(NFFT_All[[#This Row],[M4+]]),"",ABS(NFFT_All[[#This Row],[M4+]]-('statistics-M4'!$F55/365)))</f>
        <v>17.321931506849314</v>
      </c>
      <c r="P48">
        <f>IF(ISBLANK(NFFT_All[[#This Row],[M5+]]),"",ABS(NFFT_All[[#This Row],[M5+]]-('statistics-M5'!$F55/365)))</f>
        <v>17.321931506849314</v>
      </c>
      <c r="Q48">
        <f>IF(ISBLANK(NFFT_All[[#This Row],[M6+]]),"",ABS(NFFT_All[[#This Row],[M6+]]-('statistics-M6'!$F55/365)))</f>
        <v>19.82141095890411</v>
      </c>
      <c r="R48" t="str">
        <f>IF(ISBLANK(NFFT_All[[#This Row],[M7+]]),"",ABS(NFFT_All[[#This Row],[M7+]]-('statistics-M7'!$F55/365)))</f>
        <v/>
      </c>
      <c r="S48" t="e">
        <f>IF(ISBLANK(NFFT_All[[#This Row],[M8+]]),"",ABS(NFFT_All[[#This Row],[M8+]]-('statistics-M8'!$F55/365)))</f>
        <v>#VALUE!</v>
      </c>
      <c r="U48">
        <f>IF(ISBLANK(NFFT_All[[#This Row],[M4+]]),"",ABS(NFFT_All[[#This Row],[M4+]]-('statistics-M4'!$J55/365)))</f>
        <v>17.310972602739724</v>
      </c>
      <c r="V48">
        <f>IF(ISBLANK(NFFT_All[[#This Row],[M5+]]),"",ABS(NFFT_All[[#This Row],[M5+]]-('statistics-M5'!$J55/365)))</f>
        <v>17.310972602739724</v>
      </c>
      <c r="W48">
        <f>IF(ISBLANK(NFFT_All[[#This Row],[M6+]]),"",ABS(NFFT_All[[#This Row],[M6+]]-('statistics-M6'!$J55/365)))</f>
        <v>18.69949315068493</v>
      </c>
      <c r="X48" t="str">
        <f>IF(ISBLANK(NFFT_All[[#This Row],[M7+]]),"",ABS(NFFT_All[[#This Row],[M7+]]-('statistics-M7'!$J55/365)))</f>
        <v/>
      </c>
      <c r="Y48" t="e">
        <f>IF(ISBLANK(NFFT_All[[#This Row],[M8+]]),"",ABS(NFFT_All[[#This Row],[M8+]]-('statistics-M8'!$J55/365)))</f>
        <v>#VALUE!</v>
      </c>
    </row>
    <row r="49" spans="1:25" x14ac:dyDescent="0.35">
      <c r="A49" t="s">
        <v>28</v>
      </c>
      <c r="B49">
        <v>2</v>
      </c>
      <c r="C49">
        <v>3.552</v>
      </c>
      <c r="D49">
        <v>5.9880000000000004</v>
      </c>
      <c r="G49" t="s">
        <v>57</v>
      </c>
      <c r="H49" t="e">
        <f>VALUE(NFFT_All[[#This Row],[M8+]])</f>
        <v>#VALUE!</v>
      </c>
      <c r="I49">
        <f>IF(ISBLANK(NFFT_All[[#This Row],[M4+]]),"",ABS(NFFT_All[[#This Row],[M4+]]-('statistics-M4'!I56/365)))</f>
        <v>1.2460250655785488</v>
      </c>
      <c r="J49">
        <f>IF(ISBLANK(NFFT_All[[#This Row],[M5+]]),"",ABS(NFFT_All[[#This Row],[M5+]]-('statistics-M5'!$I56/365)))</f>
        <v>2.1364344422700587</v>
      </c>
      <c r="K49" t="str">
        <f>IF(ISBLANK(NFFT_All[[#This Row],[M6+]]),"",ABS(NFFT_All[[#This Row],[M6+]]-('statistics-M6'!$I56/365)))</f>
        <v/>
      </c>
      <c r="L49" t="str">
        <f>IF(ISBLANK(NFFT_All[[#This Row],[M7+]]),"",ABS(NFFT_All[[#This Row],[M7+]]-('statistics-M7'!$I56/365)))</f>
        <v/>
      </c>
      <c r="M49" t="e">
        <f>IF(ISBLANK(NFFT_All[[#This Row],[M8+]]),"",ABS(NFFT_All[[#This Row],[M8+]]-('statistics-M8'!$I56/365)))</f>
        <v>#VALUE!</v>
      </c>
      <c r="O49">
        <f>IF(ISBLANK(NFFT_All[[#This Row],[M4+]]),"",ABS(NFFT_All[[#This Row],[M4+]]-('statistics-M4'!$F56/365)))</f>
        <v>2.2478904109589042</v>
      </c>
      <c r="P49">
        <f>IF(ISBLANK(NFFT_All[[#This Row],[M5+]]),"",ABS(NFFT_All[[#This Row],[M5+]]-('statistics-M5'!$F56/365)))</f>
        <v>5.3606027397260281</v>
      </c>
      <c r="Q49" t="str">
        <f>IF(ISBLANK(NFFT_All[[#This Row],[M6+]]),"",ABS(NFFT_All[[#This Row],[M6+]]-('statistics-M6'!$F56/365)))</f>
        <v/>
      </c>
      <c r="R49" t="str">
        <f>IF(ISBLANK(NFFT_All[[#This Row],[M7+]]),"",ABS(NFFT_All[[#This Row],[M7+]]-('statistics-M7'!$F56/365)))</f>
        <v/>
      </c>
      <c r="S49" t="e">
        <f>IF(ISBLANK(NFFT_All[[#This Row],[M8+]]),"",ABS(NFFT_All[[#This Row],[M8+]]-('statistics-M8'!$F56/365)))</f>
        <v>#VALUE!</v>
      </c>
      <c r="U49">
        <f>IF(ISBLANK(NFFT_All[[#This Row],[M4+]]),"",ABS(NFFT_All[[#This Row],[M4+]]-('statistics-M4'!$J56/365)))</f>
        <v>2.5574794520547943</v>
      </c>
      <c r="V49">
        <f>IF(ISBLANK(NFFT_All[[#This Row],[M5+]]),"",ABS(NFFT_All[[#This Row],[M5+]]-('statistics-M5'!$J56/365)))</f>
        <v>3.4962191780821921</v>
      </c>
      <c r="W49" t="str">
        <f>IF(ISBLANK(NFFT_All[[#This Row],[M6+]]),"",ABS(NFFT_All[[#This Row],[M6+]]-('statistics-M6'!$J56/365)))</f>
        <v/>
      </c>
      <c r="X49" t="str">
        <f>IF(ISBLANK(NFFT_All[[#This Row],[M7+]]),"",ABS(NFFT_All[[#This Row],[M7+]]-('statistics-M7'!$J56/365)))</f>
        <v/>
      </c>
      <c r="Y49" t="e">
        <f>IF(ISBLANK(NFFT_All[[#This Row],[M8+]]),"",ABS(NFFT_All[[#This Row],[M8+]]-('statistics-M8'!$J56/365)))</f>
        <v>#VALUE!</v>
      </c>
    </row>
    <row r="50" spans="1:25" x14ac:dyDescent="0.35">
      <c r="A50" t="s">
        <v>28</v>
      </c>
      <c r="B50">
        <v>3</v>
      </c>
      <c r="C50">
        <v>8.9469999999999992</v>
      </c>
      <c r="G50" t="s">
        <v>58</v>
      </c>
      <c r="H50" t="e">
        <f>VALUE(NFFT_All[[#This Row],[M8+]])</f>
        <v>#VALUE!</v>
      </c>
      <c r="I50">
        <f>IF(ISBLANK(NFFT_All[[#This Row],[M4+]]),"",ABS(NFFT_All[[#This Row],[M4+]]-('statistics-M4'!I57/365)))</f>
        <v>5.4303659491193725</v>
      </c>
      <c r="J50" t="str">
        <f>IF(ISBLANK(NFFT_All[[#This Row],[M5+]]),"",ABS(NFFT_All[[#This Row],[M5+]]-('statistics-M5'!$I57/365)))</f>
        <v/>
      </c>
      <c r="K50" t="str">
        <f>IF(ISBLANK(NFFT_All[[#This Row],[M6+]]),"",ABS(NFFT_All[[#This Row],[M6+]]-('statistics-M6'!$I57/365)))</f>
        <v/>
      </c>
      <c r="L50" t="str">
        <f>IF(ISBLANK(NFFT_All[[#This Row],[M7+]]),"",ABS(NFFT_All[[#This Row],[M7+]]-('statistics-M7'!$I57/365)))</f>
        <v/>
      </c>
      <c r="M50" t="e">
        <f>IF(ISBLANK(NFFT_All[[#This Row],[M8+]]),"",ABS(NFFT_All[[#This Row],[M8+]]-('statistics-M8'!$I57/365)))</f>
        <v>#VALUE!</v>
      </c>
      <c r="O50">
        <f>IF(ISBLANK(NFFT_All[[#This Row],[M4+]]),"",ABS(NFFT_All[[#This Row],[M4+]]-('statistics-M4'!$F57/365)))</f>
        <v>8.2127534246575333</v>
      </c>
      <c r="P50" t="str">
        <f>IF(ISBLANK(NFFT_All[[#This Row],[M5+]]),"",ABS(NFFT_All[[#This Row],[M5+]]-('statistics-M5'!$F57/365)))</f>
        <v/>
      </c>
      <c r="Q50" t="str">
        <f>IF(ISBLANK(NFFT_All[[#This Row],[M6+]]),"",ABS(NFFT_All[[#This Row],[M6+]]-('statistics-M6'!$F57/365)))</f>
        <v/>
      </c>
      <c r="R50" t="str">
        <f>IF(ISBLANK(NFFT_All[[#This Row],[M7+]]),"",ABS(NFFT_All[[#This Row],[M7+]]-('statistics-M7'!$F57/365)))</f>
        <v/>
      </c>
      <c r="S50" t="e">
        <f>IF(ISBLANK(NFFT_All[[#This Row],[M8+]]),"",ABS(NFFT_All[[#This Row],[M8+]]-('statistics-M8'!$F57/365)))</f>
        <v>#VALUE!</v>
      </c>
      <c r="U50">
        <f>IF(ISBLANK(NFFT_All[[#This Row],[M4+]]),"",ABS(NFFT_All[[#This Row],[M4+]]-('statistics-M4'!$J57/365)))</f>
        <v>7.7072739726027386</v>
      </c>
      <c r="V50" t="str">
        <f>IF(ISBLANK(NFFT_All[[#This Row],[M5+]]),"",ABS(NFFT_All[[#This Row],[M5+]]-('statistics-M5'!$J57/365)))</f>
        <v/>
      </c>
      <c r="W50" t="str">
        <f>IF(ISBLANK(NFFT_All[[#This Row],[M6+]]),"",ABS(NFFT_All[[#This Row],[M6+]]-('statistics-M6'!$J57/365)))</f>
        <v/>
      </c>
      <c r="X50" t="str">
        <f>IF(ISBLANK(NFFT_All[[#This Row],[M7+]]),"",ABS(NFFT_All[[#This Row],[M7+]]-('statistics-M7'!$J57/365)))</f>
        <v/>
      </c>
      <c r="Y50" t="e">
        <f>IF(ISBLANK(NFFT_All[[#This Row],[M8+]]),"",ABS(NFFT_All[[#This Row],[M8+]]-('statistics-M8'!$J57/365)))</f>
        <v>#VALUE!</v>
      </c>
    </row>
    <row r="51" spans="1:25" x14ac:dyDescent="0.35">
      <c r="A51" t="s">
        <v>29</v>
      </c>
      <c r="B51">
        <v>1</v>
      </c>
      <c r="C51">
        <v>31.565000000000001</v>
      </c>
      <c r="D51">
        <v>31.565000000000001</v>
      </c>
      <c r="E51">
        <v>31.565000000000001</v>
      </c>
      <c r="F51">
        <v>14.029</v>
      </c>
      <c r="G51" t="s">
        <v>98</v>
      </c>
      <c r="H51">
        <f>VALUE(NFFT_All[[#This Row],[M8+]])</f>
        <v>25.177</v>
      </c>
      <c r="I51">
        <f>IF(ISBLANK(NFFT_All[[#This Row],[M4+]]),"",ABS(NFFT_All[[#This Row],[M4+]]-('statistics-M4'!I58/365)))</f>
        <v>30.681639524858703</v>
      </c>
      <c r="J51">
        <f>IF(ISBLANK(NFFT_All[[#This Row],[M5+]]),"",ABS(NFFT_All[[#This Row],[M5+]]-('statistics-M5'!$I58/365)))</f>
        <v>30.681639524858703</v>
      </c>
      <c r="K51">
        <f>IF(ISBLANK(NFFT_All[[#This Row],[M6+]]),"",ABS(NFFT_All[[#This Row],[M6+]]-('statistics-M6'!$I58/365)))</f>
        <v>30.681639524858703</v>
      </c>
      <c r="L51">
        <f>IF(ISBLANK(NFFT_All[[#This Row],[M7+]]),"",ABS(NFFT_All[[#This Row],[M7+]]-('statistics-M7'!$I58/365)))</f>
        <v>12.593539227895391</v>
      </c>
      <c r="M51">
        <f>IF(ISBLANK(NFFT_All[[#This Row],[M8+]]),"",ABS(NFFT_All[[#This Row],[M8+]]-('statistics-M8'!$I58/365)))</f>
        <v>13.981870624048707</v>
      </c>
      <c r="O51">
        <f>IF(ISBLANK(NFFT_All[[#This Row],[M4+]]),"",ABS(NFFT_All[[#This Row],[M4+]]-('statistics-M4'!$F58/365)))</f>
        <v>31.049931506849315</v>
      </c>
      <c r="P51">
        <f>IF(ISBLANK(NFFT_All[[#This Row],[M5+]]),"",ABS(NFFT_All[[#This Row],[M5+]]-('statistics-M5'!$F58/365)))</f>
        <v>31.049931506849315</v>
      </c>
      <c r="Q51">
        <f>IF(ISBLANK(NFFT_All[[#This Row],[M6+]]),"",ABS(NFFT_All[[#This Row],[M6+]]-('statistics-M6'!$F58/365)))</f>
        <v>31.049931506849315</v>
      </c>
      <c r="R51">
        <f>IF(ISBLANK(NFFT_All[[#This Row],[M7+]]),"",ABS(NFFT_All[[#This Row],[M7+]]-('statistics-M7'!$F58/365)))</f>
        <v>13.513931506849316</v>
      </c>
      <c r="S51">
        <f>IF(ISBLANK(NFFT_All[[#This Row],[M8+]]),"",ABS(NFFT_All[[#This Row],[M8+]]-('statistics-M8'!$F58/365)))</f>
        <v>23.952342465753425</v>
      </c>
      <c r="U51">
        <f>IF(ISBLANK(NFFT_All[[#This Row],[M4+]]),"",ABS(NFFT_All[[#This Row],[M4+]]-('statistics-M4'!$J58/365)))</f>
        <v>30.734863013698632</v>
      </c>
      <c r="V51">
        <f>IF(ISBLANK(NFFT_All[[#This Row],[M5+]]),"",ABS(NFFT_All[[#This Row],[M5+]]-('statistics-M5'!$J58/365)))</f>
        <v>30.734863013698632</v>
      </c>
      <c r="W51">
        <f>IF(ISBLANK(NFFT_All[[#This Row],[M6+]]),"",ABS(NFFT_All[[#This Row],[M6+]]-('statistics-M6'!$J58/365)))</f>
        <v>30.734863013698632</v>
      </c>
      <c r="X51">
        <f>IF(ISBLANK(NFFT_All[[#This Row],[M7+]]),"",ABS(NFFT_All[[#This Row],[M7+]]-('statistics-M7'!$J58/365)))</f>
        <v>12.855027397260274</v>
      </c>
      <c r="Y51">
        <f>IF(ISBLANK(NFFT_All[[#This Row],[M8+]]),"",ABS(NFFT_All[[#This Row],[M8+]]-('statistics-M8'!$J58/365)))</f>
        <v>16.313986301369862</v>
      </c>
    </row>
    <row r="52" spans="1:25" x14ac:dyDescent="0.35">
      <c r="A52" t="s">
        <v>29</v>
      </c>
      <c r="B52">
        <v>2</v>
      </c>
      <c r="C52">
        <v>2.4260000000000002</v>
      </c>
      <c r="D52">
        <v>9.2420000000000009</v>
      </c>
      <c r="G52" t="s">
        <v>58</v>
      </c>
      <c r="H52" t="e">
        <f>VALUE(NFFT_All[[#This Row],[M8+]])</f>
        <v>#VALUE!</v>
      </c>
      <c r="I52">
        <f>IF(ISBLANK(NFFT_All[[#This Row],[M4+]]),"",ABS(NFFT_All[[#This Row],[M4+]]-('statistics-M4'!I59/365)))</f>
        <v>0.11432354859752136</v>
      </c>
      <c r="J52">
        <f>IF(ISBLANK(NFFT_All[[#This Row],[M5+]]),"",ABS(NFFT_All[[#This Row],[M5+]]-('statistics-M5'!$I59/365)))</f>
        <v>6.1100512593901906</v>
      </c>
      <c r="K52" t="str">
        <f>IF(ISBLANK(NFFT_All[[#This Row],[M6+]]),"",ABS(NFFT_All[[#This Row],[M6+]]-('statistics-M6'!$I59/365)))</f>
        <v/>
      </c>
      <c r="L52" t="str">
        <f>IF(ISBLANK(NFFT_All[[#This Row],[M7+]]),"",ABS(NFFT_All[[#This Row],[M7+]]-('statistics-M7'!$I59/365)))</f>
        <v/>
      </c>
      <c r="M52" t="e">
        <f>IF(ISBLANK(NFFT_All[[#This Row],[M8+]]),"",ABS(NFFT_All[[#This Row],[M8+]]-('statistics-M8'!$I59/365)))</f>
        <v>#VALUE!</v>
      </c>
      <c r="O52">
        <f>IF(ISBLANK(NFFT_All[[#This Row],[M4+]]),"",ABS(NFFT_All[[#This Row],[M4+]]-('statistics-M4'!$F59/365)))</f>
        <v>1.8890136986301371</v>
      </c>
      <c r="P52">
        <f>IF(ISBLANK(NFFT_All[[#This Row],[M5+]]),"",ABS(NFFT_All[[#This Row],[M5+]]-('statistics-M5'!$F59/365)))</f>
        <v>8.7050136986301379</v>
      </c>
      <c r="Q52" t="str">
        <f>IF(ISBLANK(NFFT_All[[#This Row],[M6+]]),"",ABS(NFFT_All[[#This Row],[M6+]]-('statistics-M6'!$F59/365)))</f>
        <v/>
      </c>
      <c r="R52" t="str">
        <f>IF(ISBLANK(NFFT_All[[#This Row],[M7+]]),"",ABS(NFFT_All[[#This Row],[M7+]]-('statistics-M7'!$F59/365)))</f>
        <v/>
      </c>
      <c r="S52" t="e">
        <f>IF(ISBLANK(NFFT_All[[#This Row],[M8+]]),"",ABS(NFFT_All[[#This Row],[M8+]]-('statistics-M8'!$F59/365)))</f>
        <v>#VALUE!</v>
      </c>
      <c r="U52">
        <f>IF(ISBLANK(NFFT_All[[#This Row],[M4+]]),"",ABS(NFFT_All[[#This Row],[M4+]]-('statistics-M4'!$J59/365)))</f>
        <v>1.2273698630136989</v>
      </c>
      <c r="V52">
        <f>IF(ISBLANK(NFFT_All[[#This Row],[M5+]]),"",ABS(NFFT_All[[#This Row],[M5+]]-('statistics-M5'!$J59/365)))</f>
        <v>7.5926849315068505</v>
      </c>
      <c r="W52" t="str">
        <f>IF(ISBLANK(NFFT_All[[#This Row],[M6+]]),"",ABS(NFFT_All[[#This Row],[M6+]]-('statistics-M6'!$J59/365)))</f>
        <v/>
      </c>
      <c r="X52" t="str">
        <f>IF(ISBLANK(NFFT_All[[#This Row],[M7+]]),"",ABS(NFFT_All[[#This Row],[M7+]]-('statistics-M7'!$J59/365)))</f>
        <v/>
      </c>
      <c r="Y52" t="e">
        <f>IF(ISBLANK(NFFT_All[[#This Row],[M8+]]),"",ABS(NFFT_All[[#This Row],[M8+]]-('statistics-M8'!$J59/365)))</f>
        <v>#VALUE!</v>
      </c>
    </row>
    <row r="53" spans="1:25" x14ac:dyDescent="0.35">
      <c r="A53" t="s">
        <v>29</v>
      </c>
      <c r="B53">
        <v>3</v>
      </c>
      <c r="C53">
        <v>3.7930000000000001</v>
      </c>
      <c r="D53">
        <v>3.1669999999999998</v>
      </c>
      <c r="E53">
        <v>6.3339999999999996</v>
      </c>
      <c r="G53" t="s">
        <v>58</v>
      </c>
      <c r="H53" t="e">
        <f>VALUE(NFFT_All[[#This Row],[M8+]])</f>
        <v>#VALUE!</v>
      </c>
      <c r="I53">
        <f>IF(ISBLANK(NFFT_All[[#This Row],[M4+]]),"",ABS(NFFT_All[[#This Row],[M4+]]-('statistics-M4'!I60/365)))</f>
        <v>2.3924781474233532</v>
      </c>
      <c r="J53">
        <f>IF(ISBLANK(NFFT_All[[#This Row],[M5+]]),"",ABS(NFFT_All[[#This Row],[M5+]]-('statistics-M5'!$I60/365)))</f>
        <v>1.2658127853881278</v>
      </c>
      <c r="K53">
        <f>IF(ISBLANK(NFFT_All[[#This Row],[M6+]]),"",ABS(NFFT_All[[#This Row],[M6+]]-('statistics-M6'!$I60/365)))</f>
        <v>3.2907153729082594E-3</v>
      </c>
      <c r="L53" t="str">
        <f>IF(ISBLANK(NFFT_All[[#This Row],[M7+]]),"",ABS(NFFT_All[[#This Row],[M7+]]-('statistics-M7'!$I60/365)))</f>
        <v/>
      </c>
      <c r="M53" t="e">
        <f>IF(ISBLANK(NFFT_All[[#This Row],[M8+]]),"",ABS(NFFT_All[[#This Row],[M8+]]-('statistics-M8'!$I60/365)))</f>
        <v>#VALUE!</v>
      </c>
      <c r="O53">
        <f>IF(ISBLANK(NFFT_All[[#This Row],[M4+]]),"",ABS(NFFT_All[[#This Row],[M4+]]-('statistics-M4'!$F60/365)))</f>
        <v>2.9875205479452056</v>
      </c>
      <c r="P53">
        <f>IF(ISBLANK(NFFT_All[[#This Row],[M5+]]),"",ABS(NFFT_All[[#This Row],[M5+]]-('statistics-M5'!$F60/365)))</f>
        <v>2.5998767123287667</v>
      </c>
      <c r="Q53">
        <f>IF(ISBLANK(NFFT_All[[#This Row],[M6+]]),"",ABS(NFFT_All[[#This Row],[M6+]]-('statistics-M6'!$F60/365)))</f>
        <v>5.5285205479452051</v>
      </c>
      <c r="R53" t="str">
        <f>IF(ISBLANK(NFFT_All[[#This Row],[M7+]]),"",ABS(NFFT_All[[#This Row],[M7+]]-('statistics-M7'!$F60/365)))</f>
        <v/>
      </c>
      <c r="S53" t="e">
        <f>IF(ISBLANK(NFFT_All[[#This Row],[M8+]]),"",ABS(NFFT_All[[#This Row],[M8+]]-('statistics-M8'!$F60/365)))</f>
        <v>#VALUE!</v>
      </c>
      <c r="U53">
        <f>IF(ISBLANK(NFFT_All[[#This Row],[M4+]]),"",ABS(NFFT_All[[#This Row],[M4+]]-('statistics-M4'!$J60/365)))</f>
        <v>2.7464246575342468</v>
      </c>
      <c r="V53">
        <f>IF(ISBLANK(NFFT_All[[#This Row],[M5+]]),"",ABS(NFFT_All[[#This Row],[M5+]]-('statistics-M5'!$J60/365)))</f>
        <v>1.899876712328767</v>
      </c>
      <c r="W53">
        <f>IF(ISBLANK(NFFT_All[[#This Row],[M6+]]),"",ABS(NFFT_All[[#This Row],[M6+]]-('statistics-M6'!$J60/365)))</f>
        <v>3.3887945205479451</v>
      </c>
      <c r="X53" t="str">
        <f>IF(ISBLANK(NFFT_All[[#This Row],[M7+]]),"",ABS(NFFT_All[[#This Row],[M7+]]-('statistics-M7'!$J60/365)))</f>
        <v/>
      </c>
      <c r="Y53" t="e">
        <f>IF(ISBLANK(NFFT_All[[#This Row],[M8+]]),"",ABS(NFFT_All[[#This Row],[M8+]]-('statistics-M8'!$J60/365)))</f>
        <v>#VALUE!</v>
      </c>
    </row>
    <row r="54" spans="1:25" x14ac:dyDescent="0.35">
      <c r="A54" t="s">
        <v>30</v>
      </c>
      <c r="B54">
        <v>1</v>
      </c>
      <c r="C54">
        <v>2.9820000000000002</v>
      </c>
      <c r="D54">
        <v>2.9820000000000002</v>
      </c>
      <c r="E54">
        <v>3.9380000000000002</v>
      </c>
      <c r="G54" t="s">
        <v>57</v>
      </c>
      <c r="H54" t="e">
        <f>VALUE(NFFT_All[[#This Row],[M8+]])</f>
        <v>#VALUE!</v>
      </c>
      <c r="I54">
        <f>IF(ISBLANK(NFFT_All[[#This Row],[M4+]]),"",ABS(NFFT_All[[#This Row],[M4+]]-('statistics-M4'!I61/365)))</f>
        <v>1.7363849738737469</v>
      </c>
      <c r="J54">
        <f>IF(ISBLANK(NFFT_All[[#This Row],[M5+]]),"",ABS(NFFT_All[[#This Row],[M5+]]-('statistics-M5'!$I61/365)))</f>
        <v>1.7363849738737469</v>
      </c>
      <c r="K54">
        <f>IF(ISBLANK(NFFT_All[[#This Row],[M6+]]),"",ABS(NFFT_All[[#This Row],[M6+]]-('statistics-M6'!$I61/365)))</f>
        <v>2.0605599315068495</v>
      </c>
      <c r="L54" t="str">
        <f>IF(ISBLANK(NFFT_All[[#This Row],[M7+]]),"",ABS(NFFT_All[[#This Row],[M7+]]-('statistics-M7'!$I61/365)))</f>
        <v/>
      </c>
      <c r="M54" t="e">
        <f>IF(ISBLANK(NFFT_All[[#This Row],[M8+]]),"",ABS(NFFT_All[[#This Row],[M8+]]-('statistics-M8'!$I61/365)))</f>
        <v>#VALUE!</v>
      </c>
      <c r="O54">
        <f>IF(ISBLANK(NFFT_All[[#This Row],[M4+]]),"",ABS(NFFT_All[[#This Row],[M4+]]-('statistics-M4'!$F61/365)))</f>
        <v>2.4751506849315073</v>
      </c>
      <c r="P54">
        <f>IF(ISBLANK(NFFT_All[[#This Row],[M5+]]),"",ABS(NFFT_All[[#This Row],[M5+]]-('statistics-M5'!$F61/365)))</f>
        <v>2.4751506849315073</v>
      </c>
      <c r="Q54">
        <f>IF(ISBLANK(NFFT_All[[#This Row],[M6+]]),"",ABS(NFFT_All[[#This Row],[M6+]]-('statistics-M6'!$F61/365)))</f>
        <v>2.16813698630137</v>
      </c>
      <c r="R54" t="str">
        <f>IF(ISBLANK(NFFT_All[[#This Row],[M7+]]),"",ABS(NFFT_All[[#This Row],[M7+]]-('statistics-M7'!$F61/365)))</f>
        <v/>
      </c>
      <c r="S54" t="e">
        <f>IF(ISBLANK(NFFT_All[[#This Row],[M8+]]),"",ABS(NFFT_All[[#This Row],[M8+]]-('statistics-M8'!$F61/365)))</f>
        <v>#VALUE!</v>
      </c>
      <c r="U54">
        <f>IF(ISBLANK(NFFT_All[[#This Row],[M4+]]),"",ABS(NFFT_All[[#This Row],[M4+]]-('statistics-M4'!$J61/365)))</f>
        <v>2.1765205479452057</v>
      </c>
      <c r="V54">
        <f>IF(ISBLANK(NFFT_All[[#This Row],[M5+]]),"",ABS(NFFT_All[[#This Row],[M5+]]-('statistics-M5'!$J61/365)))</f>
        <v>2.1765205479452057</v>
      </c>
      <c r="W54">
        <f>IF(ISBLANK(NFFT_All[[#This Row],[M6+]]),"",ABS(NFFT_All[[#This Row],[M6+]]-('statistics-M6'!$J61/365)))</f>
        <v>2.6448493150684933</v>
      </c>
      <c r="X54" t="str">
        <f>IF(ISBLANK(NFFT_All[[#This Row],[M7+]]),"",ABS(NFFT_All[[#This Row],[M7+]]-('statistics-M7'!$J61/365)))</f>
        <v/>
      </c>
      <c r="Y54" t="e">
        <f>IF(ISBLANK(NFFT_All[[#This Row],[M8+]]),"",ABS(NFFT_All[[#This Row],[M8+]]-('statistics-M8'!$J61/365)))</f>
        <v>#VALUE!</v>
      </c>
    </row>
    <row r="55" spans="1:25" x14ac:dyDescent="0.35">
      <c r="A55" t="s">
        <v>31</v>
      </c>
      <c r="B55">
        <v>1</v>
      </c>
      <c r="C55">
        <v>4.8179999999999996</v>
      </c>
      <c r="D55">
        <v>4.8179999999999996</v>
      </c>
      <c r="E55">
        <v>3.7839999999999998</v>
      </c>
      <c r="G55" t="s">
        <v>58</v>
      </c>
      <c r="H55" t="e">
        <f>VALUE(NFFT_All[[#This Row],[M8+]])</f>
        <v>#VALUE!</v>
      </c>
      <c r="I55">
        <f>IF(ISBLANK(NFFT_All[[#This Row],[M4+]]),"",ABS(NFFT_All[[#This Row],[M4+]]-('statistics-M4'!I64/365)))</f>
        <v>3.5203182297154898</v>
      </c>
      <c r="J55">
        <f>IF(ISBLANK(NFFT_All[[#This Row],[M5+]]),"",ABS(NFFT_All[[#This Row],[M5+]]-('statistics-M5'!$I64/365)))</f>
        <v>3.4501732691595701</v>
      </c>
      <c r="K55">
        <f>IF(ISBLANK(NFFT_All[[#This Row],[M6+]]),"",ABS(NFFT_All[[#This Row],[M6+]]-('statistics-M6'!$I64/365)))</f>
        <v>1.4510914303918443</v>
      </c>
      <c r="L55" t="str">
        <f>IF(ISBLANK(NFFT_All[[#This Row],[M7+]]),"",ABS(NFFT_All[[#This Row],[M7+]]-('statistics-M7'!$I64/365)))</f>
        <v/>
      </c>
      <c r="M55" t="e">
        <f>IF(ISBLANK(NFFT_All[[#This Row],[M8+]]),"",ABS(NFFT_All[[#This Row],[M8+]]-('statistics-M8'!$I64/365)))</f>
        <v>#VALUE!</v>
      </c>
      <c r="O55">
        <f>IF(ISBLANK(NFFT_All[[#This Row],[M4+]]),"",ABS(NFFT_All[[#This Row],[M4+]]-('statistics-M4'!$F64/365)))</f>
        <v>3.8399178082191776</v>
      </c>
      <c r="P55">
        <f>IF(ISBLANK(NFFT_All[[#This Row],[M5+]]),"",ABS(NFFT_All[[#This Row],[M5+]]-('statistics-M5'!$F64/365)))</f>
        <v>4.0810136986301364</v>
      </c>
      <c r="Q55">
        <f>IF(ISBLANK(NFFT_All[[#This Row],[M6+]]),"",ABS(NFFT_All[[#This Row],[M6+]]-('statistics-M6'!$F64/365)))</f>
        <v>2.8168767123287668</v>
      </c>
      <c r="R55" t="str">
        <f>IF(ISBLANK(NFFT_All[[#This Row],[M7+]]),"",ABS(NFFT_All[[#This Row],[M7+]]-('statistics-M7'!$F64/365)))</f>
        <v/>
      </c>
      <c r="S55" t="e">
        <f>IF(ISBLANK(NFFT_All[[#This Row],[M8+]]),"",ABS(NFFT_All[[#This Row],[M8+]]-('statistics-M8'!$F64/365)))</f>
        <v>#VALUE!</v>
      </c>
      <c r="U55">
        <f>IF(ISBLANK(NFFT_All[[#This Row],[M4+]]),"",ABS(NFFT_All[[#This Row],[M4+]]-('statistics-M4'!$J64/365)))</f>
        <v>3.8412876712328763</v>
      </c>
      <c r="V55">
        <f>IF(ISBLANK(NFFT_All[[#This Row],[M5+]]),"",ABS(NFFT_All[[#This Row],[M5+]]-('statistics-M5'!$J64/365)))</f>
        <v>3.831698630136986</v>
      </c>
      <c r="W55">
        <f>IF(ISBLANK(NFFT_All[[#This Row],[M6+]]),"",ABS(NFFT_All[[#This Row],[M6+]]-('statistics-M6'!$J64/365)))</f>
        <v>2.2168767123287667</v>
      </c>
      <c r="X55" t="str">
        <f>IF(ISBLANK(NFFT_All[[#This Row],[M7+]]),"",ABS(NFFT_All[[#This Row],[M7+]]-('statistics-M7'!$J64/365)))</f>
        <v/>
      </c>
      <c r="Y55" t="e">
        <f>IF(ISBLANK(NFFT_All[[#This Row],[M8+]]),"",ABS(NFFT_All[[#This Row],[M8+]]-('statistics-M8'!$J64/365)))</f>
        <v>#VALUE!</v>
      </c>
    </row>
    <row r="56" spans="1:25" x14ac:dyDescent="0.35">
      <c r="A56" t="s">
        <v>31</v>
      </c>
      <c r="B56">
        <v>2</v>
      </c>
      <c r="C56">
        <v>3.2610000000000001</v>
      </c>
      <c r="D56">
        <v>3.782</v>
      </c>
      <c r="G56" t="s">
        <v>58</v>
      </c>
      <c r="H56" t="e">
        <f>VALUE(NFFT_All[[#This Row],[M8+]])</f>
        <v>#VALUE!</v>
      </c>
      <c r="I56">
        <f>IF(ISBLANK(NFFT_All[[#This Row],[M4+]]),"",ABS(NFFT_All[[#This Row],[M4+]]-('statistics-M4'!I65/365)))</f>
        <v>1.5716164383561646</v>
      </c>
      <c r="J56">
        <f>IF(ISBLANK(NFFT_All[[#This Row],[M5+]]),"",ABS(NFFT_All[[#This Row],[M5+]]-('statistics-M5'!$I65/365)))</f>
        <v>1.7691174584669191</v>
      </c>
      <c r="K56" t="str">
        <f>IF(ISBLANK(NFFT_All[[#This Row],[M6+]]),"",ABS(NFFT_All[[#This Row],[M6+]]-('statistics-M6'!$I65/365)))</f>
        <v/>
      </c>
      <c r="L56" t="str">
        <f>IF(ISBLANK(NFFT_All[[#This Row],[M7+]]),"",ABS(NFFT_All[[#This Row],[M7+]]-('statistics-M7'!$I65/365)))</f>
        <v/>
      </c>
      <c r="M56" t="e">
        <f>IF(ISBLANK(NFFT_All[[#This Row],[M8+]]),"",ABS(NFFT_All[[#This Row],[M8+]]-('statistics-M8'!$I65/365)))</f>
        <v>#VALUE!</v>
      </c>
      <c r="O56">
        <f>IF(ISBLANK(NFFT_All[[#This Row],[M4+]]),"",ABS(NFFT_All[[#This Row],[M4+]]-('statistics-M4'!$F65/365)))</f>
        <v>2.7623698630136988</v>
      </c>
      <c r="P56">
        <f>IF(ISBLANK(NFFT_All[[#This Row],[M5+]]),"",ABS(NFFT_All[[#This Row],[M5+]]-('statistics-M5'!$F65/365)))</f>
        <v>2.7546027397260273</v>
      </c>
      <c r="Q56" t="str">
        <f>IF(ISBLANK(NFFT_All[[#This Row],[M6+]]),"",ABS(NFFT_All[[#This Row],[M6+]]-('statistics-M6'!$F65/365)))</f>
        <v/>
      </c>
      <c r="R56" t="str">
        <f>IF(ISBLANK(NFFT_All[[#This Row],[M7+]]),"",ABS(NFFT_All[[#This Row],[M7+]]-('statistics-M7'!$F65/365)))</f>
        <v/>
      </c>
      <c r="S56" t="e">
        <f>IF(ISBLANK(NFFT_All[[#This Row],[M8+]]),"",ABS(NFFT_All[[#This Row],[M8+]]-('statistics-M8'!$F65/365)))</f>
        <v>#VALUE!</v>
      </c>
      <c r="U56">
        <f>IF(ISBLANK(NFFT_All[[#This Row],[M4+]]),"",ABS(NFFT_All[[#This Row],[M4+]]-('statistics-M4'!$J65/365)))</f>
        <v>2.2418219178082195</v>
      </c>
      <c r="V56">
        <f>IF(ISBLANK(NFFT_All[[#This Row],[M5+]]),"",ABS(NFFT_All[[#This Row],[M5+]]-('statistics-M5'!$J65/365)))</f>
        <v>2.675150684931507</v>
      </c>
      <c r="W56" t="str">
        <f>IF(ISBLANK(NFFT_All[[#This Row],[M6+]]),"",ABS(NFFT_All[[#This Row],[M6+]]-('statistics-M6'!$J65/365)))</f>
        <v/>
      </c>
      <c r="X56" t="str">
        <f>IF(ISBLANK(NFFT_All[[#This Row],[M7+]]),"",ABS(NFFT_All[[#This Row],[M7+]]-('statistics-M7'!$J65/365)))</f>
        <v/>
      </c>
      <c r="Y56" t="e">
        <f>IF(ISBLANK(NFFT_All[[#This Row],[M8+]]),"",ABS(NFFT_All[[#This Row],[M8+]]-('statistics-M8'!$J65/365)))</f>
        <v>#VALUE!</v>
      </c>
    </row>
    <row r="57" spans="1:25" x14ac:dyDescent="0.35">
      <c r="A57" t="s">
        <v>31</v>
      </c>
      <c r="B57">
        <v>3</v>
      </c>
      <c r="C57">
        <v>5.9320000000000004</v>
      </c>
      <c r="D57">
        <v>4.657</v>
      </c>
      <c r="E57">
        <v>8.8480000000000008</v>
      </c>
      <c r="G57" t="s">
        <v>57</v>
      </c>
      <c r="H57" t="e">
        <f>VALUE(NFFT_All[[#This Row],[M8+]])</f>
        <v>#VALUE!</v>
      </c>
      <c r="I57">
        <f>IF(ISBLANK(NFFT_All[[#This Row],[M4+]]),"",ABS(NFFT_All[[#This Row],[M4+]]-('statistics-M4'!I66/365)))</f>
        <v>4.2594719800747196</v>
      </c>
      <c r="J57">
        <f>IF(ISBLANK(NFFT_All[[#This Row],[M5+]]),"",ABS(NFFT_All[[#This Row],[M5+]]-('statistics-M5'!$I66/365)))</f>
        <v>2.4937906066536204</v>
      </c>
      <c r="K57">
        <f>IF(ISBLANK(NFFT_All[[#This Row],[M6+]]),"",ABS(NFFT_All[[#This Row],[M6+]]-('statistics-M6'!$I66/365)))</f>
        <v>4.4219726027397268</v>
      </c>
      <c r="L57" t="str">
        <f>IF(ISBLANK(NFFT_All[[#This Row],[M7+]]),"",ABS(NFFT_All[[#This Row],[M7+]]-('statistics-M7'!$I66/365)))</f>
        <v/>
      </c>
      <c r="M57" t="e">
        <f>IF(ISBLANK(NFFT_All[[#This Row],[M8+]]),"",ABS(NFFT_All[[#This Row],[M8+]]-('statistics-M8'!$I66/365)))</f>
        <v>#VALUE!</v>
      </c>
      <c r="O57">
        <f>IF(ISBLANK(NFFT_All[[#This Row],[M4+]]),"",ABS(NFFT_All[[#This Row],[M4+]]-('statistics-M4'!$F66/365)))</f>
        <v>5.39227397260274</v>
      </c>
      <c r="P57">
        <f>IF(ISBLANK(NFFT_All[[#This Row],[M5+]]),"",ABS(NFFT_All[[#This Row],[M5+]]-('statistics-M5'!$F66/365)))</f>
        <v>3.9172739726027399</v>
      </c>
      <c r="Q57">
        <f>IF(ISBLANK(NFFT_All[[#This Row],[M6+]]),"",ABS(NFFT_All[[#This Row],[M6+]]-('statistics-M6'!$F66/365)))</f>
        <v>8.1082739726027402</v>
      </c>
      <c r="R57" t="str">
        <f>IF(ISBLANK(NFFT_All[[#This Row],[M7+]]),"",ABS(NFFT_All[[#This Row],[M7+]]-('statistics-M7'!$F66/365)))</f>
        <v/>
      </c>
      <c r="S57" t="e">
        <f>IF(ISBLANK(NFFT_All[[#This Row],[M8+]]),"",ABS(NFFT_All[[#This Row],[M8+]]-('statistics-M8'!$F66/365)))</f>
        <v>#VALUE!</v>
      </c>
      <c r="U57">
        <f>IF(ISBLANK(NFFT_All[[#This Row],[M4+]]),"",ABS(NFFT_All[[#This Row],[M4+]]-('statistics-M4'!$J66/365)))</f>
        <v>4.9703561643835616</v>
      </c>
      <c r="V57">
        <f>IF(ISBLANK(NFFT_All[[#This Row],[M5+]]),"",ABS(NFFT_All[[#This Row],[M5+]]-('statistics-M5'!$J66/365)))</f>
        <v>3.4556301369863016</v>
      </c>
      <c r="W57">
        <f>IF(ISBLANK(NFFT_All[[#This Row],[M6+]]),"",ABS(NFFT_All[[#This Row],[M6+]]-('statistics-M6'!$J66/365)))</f>
        <v>4.79868493150685</v>
      </c>
      <c r="X57" t="str">
        <f>IF(ISBLANK(NFFT_All[[#This Row],[M7+]]),"",ABS(NFFT_All[[#This Row],[M7+]]-('statistics-M7'!$J66/365)))</f>
        <v/>
      </c>
      <c r="Y57" t="e">
        <f>IF(ISBLANK(NFFT_All[[#This Row],[M8+]]),"",ABS(NFFT_All[[#This Row],[M8+]]-('statistics-M8'!$J66/365)))</f>
        <v>#VALUE!</v>
      </c>
    </row>
    <row r="58" spans="1:25" x14ac:dyDescent="0.35">
      <c r="A58" t="s">
        <v>32</v>
      </c>
      <c r="B58">
        <v>1</v>
      </c>
      <c r="C58">
        <v>2.6890000000000001</v>
      </c>
      <c r="D58">
        <v>2.6890000000000001</v>
      </c>
      <c r="E58">
        <v>2.6890000000000001</v>
      </c>
      <c r="F58">
        <v>9.8119999999999994</v>
      </c>
      <c r="G58" t="s">
        <v>57</v>
      </c>
      <c r="H58" t="e">
        <f>VALUE(NFFT_All[[#This Row],[M8+]])</f>
        <v>#VALUE!</v>
      </c>
      <c r="I58">
        <f>IF(ISBLANK(NFFT_All[[#This Row],[M4+]]),"",ABS(NFFT_All[[#This Row],[M4+]]-('statistics-M4'!I67/365)))</f>
        <v>1.7329488282576702</v>
      </c>
      <c r="J58">
        <f>IF(ISBLANK(NFFT_All[[#This Row],[M5+]]),"",ABS(NFFT_All[[#This Row],[M5+]]-('statistics-M5'!$I67/365)))</f>
        <v>1.7329488282576702</v>
      </c>
      <c r="K58">
        <f>IF(ISBLANK(NFFT_All[[#This Row],[M6+]]),"",ABS(NFFT_All[[#This Row],[M6+]]-('statistics-M6'!$I67/365)))</f>
        <v>1.7002633181126332</v>
      </c>
      <c r="L58">
        <f>IF(ISBLANK(NFFT_All[[#This Row],[M7+]]),"",ABS(NFFT_All[[#This Row],[M7+]]-('statistics-M7'!$I67/365)))</f>
        <v>6.4915326349717963</v>
      </c>
      <c r="M58" t="e">
        <f>IF(ISBLANK(NFFT_All[[#This Row],[M8+]]),"",ABS(NFFT_All[[#This Row],[M8+]]-('statistics-M8'!$I67/365)))</f>
        <v>#VALUE!</v>
      </c>
      <c r="O58">
        <f>IF(ISBLANK(NFFT_All[[#This Row],[M4+]]),"",ABS(NFFT_All[[#This Row],[M4+]]-('statistics-M4'!$F67/365)))</f>
        <v>2.1766712328767124</v>
      </c>
      <c r="P58">
        <f>IF(ISBLANK(NFFT_All[[#This Row],[M5+]]),"",ABS(NFFT_All[[#This Row],[M5+]]-('statistics-M5'!$F67/365)))</f>
        <v>2.1766712328767124</v>
      </c>
      <c r="Q58">
        <f>IF(ISBLANK(NFFT_All[[#This Row],[M6+]]),"",ABS(NFFT_All[[#This Row],[M6+]]-('statistics-M6'!$F67/365)))</f>
        <v>2.1766712328767124</v>
      </c>
      <c r="R58">
        <f>IF(ISBLANK(NFFT_All[[#This Row],[M7+]]),"",ABS(NFFT_All[[#This Row],[M7+]]-('statistics-M7'!$F67/365)))</f>
        <v>9.2667945205479452</v>
      </c>
      <c r="S58" t="e">
        <f>IF(ISBLANK(NFFT_All[[#This Row],[M8+]]),"",ABS(NFFT_All[[#This Row],[M8+]]-('statistics-M8'!$F67/365)))</f>
        <v>#VALUE!</v>
      </c>
      <c r="U58">
        <f>IF(ISBLANK(NFFT_All[[#This Row],[M4+]]),"",ABS(NFFT_All[[#This Row],[M4+]]-('statistics-M4'!$J67/365)))</f>
        <v>1.7985890410958905</v>
      </c>
      <c r="V58">
        <f>IF(ISBLANK(NFFT_All[[#This Row],[M5+]]),"",ABS(NFFT_All[[#This Row],[M5+]]-('statistics-M5'!$J67/365)))</f>
        <v>1.7985890410958905</v>
      </c>
      <c r="W58">
        <f>IF(ISBLANK(NFFT_All[[#This Row],[M6+]]),"",ABS(NFFT_All[[#This Row],[M6+]]-('statistics-M6'!$J67/365)))</f>
        <v>1.804068493150685</v>
      </c>
      <c r="X58">
        <f>IF(ISBLANK(NFFT_All[[#This Row],[M7+]]),"",ABS(NFFT_All[[#This Row],[M7+]]-('statistics-M7'!$J67/365)))</f>
        <v>7.235287671232876</v>
      </c>
      <c r="Y58" t="e">
        <f>IF(ISBLANK(NFFT_All[[#This Row],[M8+]]),"",ABS(NFFT_All[[#This Row],[M8+]]-('statistics-M8'!$J67/365)))</f>
        <v>#VALUE!</v>
      </c>
    </row>
    <row r="59" spans="1:25" x14ac:dyDescent="0.35">
      <c r="A59" t="s">
        <v>32</v>
      </c>
      <c r="B59">
        <v>2</v>
      </c>
      <c r="C59">
        <v>2.29</v>
      </c>
      <c r="D59">
        <v>2.3650000000000002</v>
      </c>
      <c r="E59">
        <v>12.661</v>
      </c>
      <c r="G59" t="s">
        <v>58</v>
      </c>
      <c r="H59" t="e">
        <f>VALUE(NFFT_All[[#This Row],[M8+]])</f>
        <v>#VALUE!</v>
      </c>
      <c r="I59">
        <f>IF(ISBLANK(NFFT_All[[#This Row],[M4+]]),"",ABS(NFFT_All[[#This Row],[M4+]]-('statistics-M4'!I68/365)))</f>
        <v>1.0232473811442386</v>
      </c>
      <c r="J59">
        <f>IF(ISBLANK(NFFT_All[[#This Row],[M5+]]),"",ABS(NFFT_All[[#This Row],[M5+]]-('statistics-M5'!$I68/365)))</f>
        <v>1.0190753424657537</v>
      </c>
      <c r="K59">
        <f>IF(ISBLANK(NFFT_All[[#This Row],[M6+]]),"",ABS(NFFT_All[[#This Row],[M6+]]-('statistics-M6'!$I68/365)))</f>
        <v>9.7508926323583864</v>
      </c>
      <c r="L59" t="str">
        <f>IF(ISBLANK(NFFT_All[[#This Row],[M7+]]),"",ABS(NFFT_All[[#This Row],[M7+]]-('statistics-M7'!$I68/365)))</f>
        <v/>
      </c>
      <c r="M59" t="e">
        <f>IF(ISBLANK(NFFT_All[[#This Row],[M8+]]),"",ABS(NFFT_All[[#This Row],[M8+]]-('statistics-M8'!$I68/365)))</f>
        <v>#VALUE!</v>
      </c>
      <c r="O59">
        <f>IF(ISBLANK(NFFT_All[[#This Row],[M4+]]),"",ABS(NFFT_All[[#This Row],[M4+]]-('statistics-M4'!$F68/365)))</f>
        <v>1.6954794520547947</v>
      </c>
      <c r="P59">
        <f>IF(ISBLANK(NFFT_All[[#This Row],[M5+]]),"",ABS(NFFT_All[[#This Row],[M5+]]-('statistics-M5'!$F68/365)))</f>
        <v>1.5403424657534248</v>
      </c>
      <c r="Q59">
        <f>IF(ISBLANK(NFFT_All[[#This Row],[M6+]]),"",ABS(NFFT_All[[#This Row],[M6+]]-('statistics-M6'!$F68/365)))</f>
        <v>11.041821917808219</v>
      </c>
      <c r="R59" t="str">
        <f>IF(ISBLANK(NFFT_All[[#This Row],[M7+]]),"",ABS(NFFT_All[[#This Row],[M7+]]-('statistics-M7'!$F68/365)))</f>
        <v/>
      </c>
      <c r="S59" t="e">
        <f>IF(ISBLANK(NFFT_All[[#This Row],[M8+]]),"",ABS(NFFT_All[[#This Row],[M8+]]-('statistics-M8'!$F68/365)))</f>
        <v>#VALUE!</v>
      </c>
      <c r="U59">
        <f>IF(ISBLANK(NFFT_All[[#This Row],[M4+]]),"",ABS(NFFT_All[[#This Row],[M4+]]-('statistics-M4'!$J68/365)))</f>
        <v>1.4461643835616438</v>
      </c>
      <c r="V59">
        <f>IF(ISBLANK(NFFT_All[[#This Row],[M5+]]),"",ABS(NFFT_All[[#This Row],[M5+]]-('statistics-M5'!$J68/365)))</f>
        <v>1.4677397260273974</v>
      </c>
      <c r="W59">
        <f>IF(ISBLANK(NFFT_All[[#This Row],[M6+]]),"",ABS(NFFT_All[[#This Row],[M6+]]-('statistics-M6'!$J68/365)))</f>
        <v>10.039082191780821</v>
      </c>
      <c r="X59" t="str">
        <f>IF(ISBLANK(NFFT_All[[#This Row],[M7+]]),"",ABS(NFFT_All[[#This Row],[M7+]]-('statistics-M7'!$J68/365)))</f>
        <v/>
      </c>
      <c r="Y59" t="e">
        <f>IF(ISBLANK(NFFT_All[[#This Row],[M8+]]),"",ABS(NFFT_All[[#This Row],[M8+]]-('statistics-M8'!$J68/365)))</f>
        <v>#VALUE!</v>
      </c>
    </row>
    <row r="60" spans="1:25" x14ac:dyDescent="0.35">
      <c r="A60" t="s">
        <v>34</v>
      </c>
      <c r="B60">
        <v>1</v>
      </c>
      <c r="C60">
        <v>2.2639999999999998</v>
      </c>
      <c r="D60">
        <v>8.9930000000000003</v>
      </c>
      <c r="G60" t="s">
        <v>57</v>
      </c>
      <c r="H60" t="e">
        <f>VALUE(NFFT_All[[#This Row],[M8+]])</f>
        <v>#VALUE!</v>
      </c>
      <c r="I60">
        <f>IF(ISBLANK(NFFT_All[[#This Row],[M4+]]),"",ABS(NFFT_All[[#This Row],[M4+]]-('statistics-M4'!I70/365)))</f>
        <v>0.11881963470319645</v>
      </c>
      <c r="J60">
        <f>IF(ISBLANK(NFFT_All[[#This Row],[M5+]]),"",ABS(NFFT_All[[#This Row],[M5+]]-('statistics-M5'!$I70/365)))</f>
        <v>4.3070410958904111</v>
      </c>
      <c r="K60" t="str">
        <f>IF(ISBLANK(NFFT_All[[#This Row],[M6+]]),"",ABS(NFFT_All[[#This Row],[M6+]]-('statistics-M6'!$I70/365)))</f>
        <v/>
      </c>
      <c r="L60" t="str">
        <f>IF(ISBLANK(NFFT_All[[#This Row],[M7+]]),"",ABS(NFFT_All[[#This Row],[M7+]]-('statistics-M7'!$I70/365)))</f>
        <v/>
      </c>
      <c r="M60" t="e">
        <f>IF(ISBLANK(NFFT_All[[#This Row],[M8+]]),"",ABS(NFFT_All[[#This Row],[M8+]]-('statistics-M8'!$I70/365)))</f>
        <v>#VALUE!</v>
      </c>
      <c r="O60">
        <f>IF(ISBLANK(NFFT_All[[#This Row],[M4+]]),"",ABS(NFFT_All[[#This Row],[M4+]]-('statistics-M4'!$F70/365)))</f>
        <v>1.6722191780821916</v>
      </c>
      <c r="P60">
        <f>IF(ISBLANK(NFFT_All[[#This Row],[M5+]]),"",ABS(NFFT_All[[#This Row],[M5+]]-('statistics-M5'!$F70/365)))</f>
        <v>8.4888904109589038</v>
      </c>
      <c r="Q60" t="str">
        <f>IF(ISBLANK(NFFT_All[[#This Row],[M6+]]),"",ABS(NFFT_All[[#This Row],[M6+]]-('statistics-M6'!$F70/365)))</f>
        <v/>
      </c>
      <c r="R60" t="str">
        <f>IF(ISBLANK(NFFT_All[[#This Row],[M7+]]),"",ABS(NFFT_All[[#This Row],[M7+]]-('statistics-M7'!$F70/365)))</f>
        <v/>
      </c>
      <c r="S60" t="e">
        <f>IF(ISBLANK(NFFT_All[[#This Row],[M8+]]),"",ABS(NFFT_All[[#This Row],[M8+]]-('statistics-M8'!$F70/365)))</f>
        <v>#VALUE!</v>
      </c>
      <c r="U60">
        <f>IF(ISBLANK(NFFT_All[[#This Row],[M4+]]),"",ABS(NFFT_All[[#This Row],[M4+]]-('statistics-M4'!$J70/365)))</f>
        <v>1.2420821917808218</v>
      </c>
      <c r="V60">
        <f>IF(ISBLANK(NFFT_All[[#This Row],[M5+]]),"",ABS(NFFT_All[[#This Row],[M5+]]-('statistics-M5'!$J70/365)))</f>
        <v>6.3738219178082201</v>
      </c>
      <c r="W60" t="str">
        <f>IF(ISBLANK(NFFT_All[[#This Row],[M6+]]),"",ABS(NFFT_All[[#This Row],[M6+]]-('statistics-M6'!$J70/365)))</f>
        <v/>
      </c>
      <c r="X60" t="str">
        <f>IF(ISBLANK(NFFT_All[[#This Row],[M7+]]),"",ABS(NFFT_All[[#This Row],[M7+]]-('statistics-M7'!$J70/365)))</f>
        <v/>
      </c>
      <c r="Y60" t="e">
        <f>IF(ISBLANK(NFFT_All[[#This Row],[M8+]]),"",ABS(NFFT_All[[#This Row],[M8+]]-('statistics-M8'!$J70/365)))</f>
        <v>#VALUE!</v>
      </c>
    </row>
    <row r="61" spans="1:25" x14ac:dyDescent="0.35">
      <c r="A61" t="s">
        <v>34</v>
      </c>
      <c r="B61">
        <v>2</v>
      </c>
      <c r="C61">
        <v>14.619</v>
      </c>
      <c r="D61">
        <v>8.1859999999999999</v>
      </c>
      <c r="G61" t="s">
        <v>57</v>
      </c>
      <c r="H61" t="e">
        <f>VALUE(NFFT_All[[#This Row],[M8+]])</f>
        <v>#VALUE!</v>
      </c>
      <c r="I61">
        <f>IF(ISBLANK(NFFT_All[[#This Row],[M4+]]),"",ABS(NFFT_All[[#This Row],[M4+]]-('statistics-M4'!I71/365)))</f>
        <v>10.523767123287671</v>
      </c>
      <c r="J61">
        <f>IF(ISBLANK(NFFT_All[[#This Row],[M5+]]),"",ABS(NFFT_All[[#This Row],[M5+]]-('statistics-M5'!$I71/365)))</f>
        <v>0.87308414872798412</v>
      </c>
      <c r="K61" t="str">
        <f>IF(ISBLANK(NFFT_All[[#This Row],[M6+]]),"",ABS(NFFT_All[[#This Row],[M6+]]-('statistics-M6'!$I71/365)))</f>
        <v/>
      </c>
      <c r="L61" t="str">
        <f>IF(ISBLANK(NFFT_All[[#This Row],[M7+]]),"",ABS(NFFT_All[[#This Row],[M7+]]-('statistics-M7'!$I71/365)))</f>
        <v/>
      </c>
      <c r="M61" t="e">
        <f>IF(ISBLANK(NFFT_All[[#This Row],[M8+]]),"",ABS(NFFT_All[[#This Row],[M8+]]-('statistics-M8'!$I71/365)))</f>
        <v>#VALUE!</v>
      </c>
      <c r="O61">
        <f>IF(ISBLANK(NFFT_All[[#This Row],[M4+]]),"",ABS(NFFT_All[[#This Row],[M4+]]-('statistics-M4'!$F71/365)))</f>
        <v>14.109410958904109</v>
      </c>
      <c r="P61">
        <f>IF(ISBLANK(NFFT_All[[#This Row],[M5+]]),"",ABS(NFFT_All[[#This Row],[M5+]]-('statistics-M5'!$F71/365)))</f>
        <v>7.4901095890410954</v>
      </c>
      <c r="Q61" t="str">
        <f>IF(ISBLANK(NFFT_All[[#This Row],[M6+]]),"",ABS(NFFT_All[[#This Row],[M6+]]-('statistics-M6'!$F71/365)))</f>
        <v/>
      </c>
      <c r="R61" t="str">
        <f>IF(ISBLANK(NFFT_All[[#This Row],[M7+]]),"",ABS(NFFT_All[[#This Row],[M7+]]-('statistics-M7'!$F71/365)))</f>
        <v/>
      </c>
      <c r="S61" t="e">
        <f>IF(ISBLANK(NFFT_All[[#This Row],[M8+]]),"",ABS(NFFT_All[[#This Row],[M8+]]-('statistics-M8'!$F71/365)))</f>
        <v>#VALUE!</v>
      </c>
      <c r="U61">
        <f>IF(ISBLANK(NFFT_All[[#This Row],[M4+]]),"",ABS(NFFT_All[[#This Row],[M4+]]-('statistics-M4'!$J71/365)))</f>
        <v>13.112150684931507</v>
      </c>
      <c r="V61">
        <f>IF(ISBLANK(NFFT_All[[#This Row],[M5+]]),"",ABS(NFFT_All[[#This Row],[M5+]]-('statistics-M5'!$J71/365)))</f>
        <v>4.6449041095890404</v>
      </c>
      <c r="W61" t="str">
        <f>IF(ISBLANK(NFFT_All[[#This Row],[M6+]]),"",ABS(NFFT_All[[#This Row],[M6+]]-('statistics-M6'!$J71/365)))</f>
        <v/>
      </c>
      <c r="X61" t="str">
        <f>IF(ISBLANK(NFFT_All[[#This Row],[M7+]]),"",ABS(NFFT_All[[#This Row],[M7+]]-('statistics-M7'!$J71/365)))</f>
        <v/>
      </c>
      <c r="Y61" t="e">
        <f>IF(ISBLANK(NFFT_All[[#This Row],[M8+]]),"",ABS(NFFT_All[[#This Row],[M8+]]-('statistics-M8'!$J71/365)))</f>
        <v>#VALUE!</v>
      </c>
    </row>
    <row r="62" spans="1:25" x14ac:dyDescent="0.35">
      <c r="A62" t="s">
        <v>34</v>
      </c>
      <c r="B62">
        <v>3</v>
      </c>
      <c r="C62">
        <v>18.588000000000001</v>
      </c>
      <c r="G62" t="s">
        <v>58</v>
      </c>
      <c r="H62" t="e">
        <f>VALUE(NFFT_All[[#This Row],[M8+]])</f>
        <v>#VALUE!</v>
      </c>
      <c r="I62">
        <f>IF(ISBLANK(NFFT_All[[#This Row],[M4+]]),"",ABS(NFFT_All[[#This Row],[M4+]]-('statistics-M4'!I72/365)))</f>
        <v>13.717288975864319</v>
      </c>
      <c r="J62" t="str">
        <f>IF(ISBLANK(NFFT_All[[#This Row],[M5+]]),"",ABS(NFFT_All[[#This Row],[M5+]]-('statistics-M5'!$I72/365)))</f>
        <v/>
      </c>
      <c r="K62" t="str">
        <f>IF(ISBLANK(NFFT_All[[#This Row],[M6+]]),"",ABS(NFFT_All[[#This Row],[M6+]]-('statistics-M6'!$I72/365)))</f>
        <v/>
      </c>
      <c r="L62" t="str">
        <f>IF(ISBLANK(NFFT_All[[#This Row],[M7+]]),"",ABS(NFFT_All[[#This Row],[M7+]]-('statistics-M7'!$I72/365)))</f>
        <v/>
      </c>
      <c r="M62" t="e">
        <f>IF(ISBLANK(NFFT_All[[#This Row],[M8+]]),"",ABS(NFFT_All[[#This Row],[M8+]]-('statistics-M8'!$I72/365)))</f>
        <v>#VALUE!</v>
      </c>
      <c r="O62">
        <f>IF(ISBLANK(NFFT_All[[#This Row],[M4+]]),"",ABS(NFFT_All[[#This Row],[M4+]]-('statistics-M4'!$F72/365)))</f>
        <v>17.966082191780824</v>
      </c>
      <c r="P62" t="str">
        <f>IF(ISBLANK(NFFT_All[[#This Row],[M5+]]),"",ABS(NFFT_All[[#This Row],[M5+]]-('statistics-M5'!$F72/365)))</f>
        <v/>
      </c>
      <c r="Q62" t="str">
        <f>IF(ISBLANK(NFFT_All[[#This Row],[M6+]]),"",ABS(NFFT_All[[#This Row],[M6+]]-('statistics-M6'!$F72/365)))</f>
        <v/>
      </c>
      <c r="R62" t="str">
        <f>IF(ISBLANK(NFFT_All[[#This Row],[M7+]]),"",ABS(NFFT_All[[#This Row],[M7+]]-('statistics-M7'!$F72/365)))</f>
        <v/>
      </c>
      <c r="S62" t="e">
        <f>IF(ISBLANK(NFFT_All[[#This Row],[M8+]]),"",ABS(NFFT_All[[#This Row],[M8+]]-('statistics-M8'!$F72/365)))</f>
        <v>#VALUE!</v>
      </c>
      <c r="U62">
        <f>IF(ISBLANK(NFFT_All[[#This Row],[M4+]]),"",ABS(NFFT_All[[#This Row],[M4+]]-('statistics-M4'!$J72/365)))</f>
        <v>16.182520547945206</v>
      </c>
      <c r="V62" t="str">
        <f>IF(ISBLANK(NFFT_All[[#This Row],[M5+]]),"",ABS(NFFT_All[[#This Row],[M5+]]-('statistics-M5'!$J72/365)))</f>
        <v/>
      </c>
      <c r="W62" t="str">
        <f>IF(ISBLANK(NFFT_All[[#This Row],[M6+]]),"",ABS(NFFT_All[[#This Row],[M6+]]-('statistics-M6'!$J72/365)))</f>
        <v/>
      </c>
      <c r="X62" t="str">
        <f>IF(ISBLANK(NFFT_All[[#This Row],[M7+]]),"",ABS(NFFT_All[[#This Row],[M7+]]-('statistics-M7'!$J72/365)))</f>
        <v/>
      </c>
      <c r="Y62" t="e">
        <f>IF(ISBLANK(NFFT_All[[#This Row],[M8+]]),"",ABS(NFFT_All[[#This Row],[M8+]]-('statistics-M8'!$J72/365)))</f>
        <v>#VALUE!</v>
      </c>
    </row>
    <row r="63" spans="1:25" x14ac:dyDescent="0.35">
      <c r="A63" t="s">
        <v>35</v>
      </c>
      <c r="B63">
        <v>1</v>
      </c>
      <c r="C63">
        <v>2.8769999999999998</v>
      </c>
      <c r="D63">
        <v>2.9489999999999998</v>
      </c>
      <c r="G63" t="s">
        <v>57</v>
      </c>
      <c r="H63" t="e">
        <f>VALUE(NFFT_All[[#This Row],[M8+]])</f>
        <v>#VALUE!</v>
      </c>
      <c r="I63">
        <f>IF(ISBLANK(NFFT_All[[#This Row],[M4+]]),"",ABS(NFFT_All[[#This Row],[M4+]]-('statistics-M4'!I73/365)))</f>
        <v>1.8232328767123285</v>
      </c>
      <c r="J63">
        <f>IF(ISBLANK(NFFT_All[[#This Row],[M5+]]),"",ABS(NFFT_All[[#This Row],[M5+]]-('statistics-M5'!$I73/365)))</f>
        <v>1.3960800288392212</v>
      </c>
      <c r="K63" t="str">
        <f>IF(ISBLANK(NFFT_All[[#This Row],[M6+]]),"",ABS(NFFT_All[[#This Row],[M6+]]-('statistics-M6'!$I73/365)))</f>
        <v/>
      </c>
      <c r="L63" t="str">
        <f>IF(ISBLANK(NFFT_All[[#This Row],[M7+]]),"",ABS(NFFT_All[[#This Row],[M7+]]-('statistics-M7'!$I73/365)))</f>
        <v/>
      </c>
      <c r="M63" t="e">
        <f>IF(ISBLANK(NFFT_All[[#This Row],[M8+]]),"",ABS(NFFT_All[[#This Row],[M8+]]-('statistics-M8'!$I73/365)))</f>
        <v>#VALUE!</v>
      </c>
      <c r="O63">
        <f>IF(ISBLANK(NFFT_All[[#This Row],[M4+]]),"",ABS(NFFT_All[[#This Row],[M4+]]-('statistics-M4'!$F73/365)))</f>
        <v>2.3756301369863011</v>
      </c>
      <c r="P63">
        <f>IF(ISBLANK(NFFT_All[[#This Row],[M5+]]),"",ABS(NFFT_All[[#This Row],[M5+]]-('statistics-M5'!$F73/365)))</f>
        <v>2.4503698630136985</v>
      </c>
      <c r="Q63" t="str">
        <f>IF(ISBLANK(NFFT_All[[#This Row],[M6+]]),"",ABS(NFFT_All[[#This Row],[M6+]]-('statistics-M6'!$F73/365)))</f>
        <v/>
      </c>
      <c r="R63" t="str">
        <f>IF(ISBLANK(NFFT_All[[#This Row],[M7+]]),"",ABS(NFFT_All[[#This Row],[M7+]]-('statistics-M7'!$F73/365)))</f>
        <v/>
      </c>
      <c r="S63" t="e">
        <f>IF(ISBLANK(NFFT_All[[#This Row],[M8+]]),"",ABS(NFFT_All[[#This Row],[M8+]]-('statistics-M8'!$F73/365)))</f>
        <v>#VALUE!</v>
      </c>
      <c r="U63">
        <f>IF(ISBLANK(NFFT_All[[#This Row],[M4+]]),"",ABS(NFFT_All[[#This Row],[M4+]]-('statistics-M4'!$J73/365)))</f>
        <v>2.0222054794520545</v>
      </c>
      <c r="V63">
        <f>IF(ISBLANK(NFFT_All[[#This Row],[M5+]]),"",ABS(NFFT_All[[#This Row],[M5+]]-('statistics-M5'!$J73/365)))</f>
        <v>1.8613287671232874</v>
      </c>
      <c r="W63" t="str">
        <f>IF(ISBLANK(NFFT_All[[#This Row],[M6+]]),"",ABS(NFFT_All[[#This Row],[M6+]]-('statistics-M6'!$J73/365)))</f>
        <v/>
      </c>
      <c r="X63" t="str">
        <f>IF(ISBLANK(NFFT_All[[#This Row],[M7+]]),"",ABS(NFFT_All[[#This Row],[M7+]]-('statistics-M7'!$J73/365)))</f>
        <v/>
      </c>
      <c r="Y63" t="e">
        <f>IF(ISBLANK(NFFT_All[[#This Row],[M8+]]),"",ABS(NFFT_All[[#This Row],[M8+]]-('statistics-M8'!$J73/365)))</f>
        <v>#VALUE!</v>
      </c>
    </row>
    <row r="64" spans="1:25" x14ac:dyDescent="0.35">
      <c r="A64" t="s">
        <v>35</v>
      </c>
      <c r="B64">
        <v>2</v>
      </c>
      <c r="C64">
        <v>10.663</v>
      </c>
      <c r="D64">
        <v>3.2160000000000002</v>
      </c>
      <c r="G64" t="s">
        <v>57</v>
      </c>
      <c r="H64" t="e">
        <f>VALUE(NFFT_All[[#This Row],[M8+]])</f>
        <v>#VALUE!</v>
      </c>
      <c r="I64">
        <f>IF(ISBLANK(NFFT_All[[#This Row],[M4+]]),"",ABS(NFFT_All[[#This Row],[M4+]]-('statistics-M4'!I74/365)))</f>
        <v>7.9960209084354723</v>
      </c>
      <c r="J64">
        <f>IF(ISBLANK(NFFT_All[[#This Row],[M5+]]),"",ABS(NFFT_All[[#This Row],[M5+]]-('statistics-M5'!$I74/365)))</f>
        <v>0.83780821917808268</v>
      </c>
      <c r="K64" t="str">
        <f>IF(ISBLANK(NFFT_All[[#This Row],[M6+]]),"",ABS(NFFT_All[[#This Row],[M6+]]-('statistics-M6'!$I74/365)))</f>
        <v/>
      </c>
      <c r="L64" t="str">
        <f>IF(ISBLANK(NFFT_All[[#This Row],[M7+]]),"",ABS(NFFT_All[[#This Row],[M7+]]-('statistics-M7'!$I74/365)))</f>
        <v/>
      </c>
      <c r="M64" t="e">
        <f>IF(ISBLANK(NFFT_All[[#This Row],[M8+]]),"",ABS(NFFT_All[[#This Row],[M8+]]-('statistics-M8'!$I74/365)))</f>
        <v>#VALUE!</v>
      </c>
      <c r="O64">
        <f>IF(ISBLANK(NFFT_All[[#This Row],[M4+]]),"",ABS(NFFT_All[[#This Row],[M4+]]-('statistics-M4'!$F74/365)))</f>
        <v>10.145191780821918</v>
      </c>
      <c r="P64">
        <f>IF(ISBLANK(NFFT_All[[#This Row],[M5+]]),"",ABS(NFFT_All[[#This Row],[M5+]]-('statistics-M5'!$F74/365)))</f>
        <v>2.6844931506849319</v>
      </c>
      <c r="Q64" t="str">
        <f>IF(ISBLANK(NFFT_All[[#This Row],[M6+]]),"",ABS(NFFT_All[[#This Row],[M6+]]-('statistics-M6'!$F74/365)))</f>
        <v/>
      </c>
      <c r="R64" t="str">
        <f>IF(ISBLANK(NFFT_All[[#This Row],[M7+]]),"",ABS(NFFT_All[[#This Row],[M7+]]-('statistics-M7'!$F74/365)))</f>
        <v/>
      </c>
      <c r="S64" t="e">
        <f>IF(ISBLANK(NFFT_All[[#This Row],[M8+]]),"",ABS(NFFT_All[[#This Row],[M8+]]-('statistics-M8'!$F74/365)))</f>
        <v>#VALUE!</v>
      </c>
      <c r="U64">
        <f>IF(ISBLANK(NFFT_All[[#This Row],[M4+]]),"",ABS(NFFT_All[[#This Row],[M4+]]-('statistics-M4'!$J74/365)))</f>
        <v>9.57258904109589</v>
      </c>
      <c r="V64">
        <f>IF(ISBLANK(NFFT_All[[#This Row],[M5+]]),"",ABS(NFFT_All[[#This Row],[M5+]]-('statistics-M5'!$J74/365)))</f>
        <v>1.8927123287671235</v>
      </c>
      <c r="W64" t="str">
        <f>IF(ISBLANK(NFFT_All[[#This Row],[M6+]]),"",ABS(NFFT_All[[#This Row],[M6+]]-('statistics-M6'!$J74/365)))</f>
        <v/>
      </c>
      <c r="X64" t="str">
        <f>IF(ISBLANK(NFFT_All[[#This Row],[M7+]]),"",ABS(NFFT_All[[#This Row],[M7+]]-('statistics-M7'!$J74/365)))</f>
        <v/>
      </c>
      <c r="Y64" t="e">
        <f>IF(ISBLANK(NFFT_All[[#This Row],[M8+]]),"",ABS(NFFT_All[[#This Row],[M8+]]-('statistics-M8'!$J74/365)))</f>
        <v>#VALUE!</v>
      </c>
    </row>
    <row r="65" spans="1:25" x14ac:dyDescent="0.35">
      <c r="A65" t="s">
        <v>36</v>
      </c>
      <c r="B65">
        <v>1</v>
      </c>
      <c r="C65">
        <v>2.9940000000000002</v>
      </c>
      <c r="D65">
        <v>14.269</v>
      </c>
      <c r="G65" t="s">
        <v>57</v>
      </c>
      <c r="H65" t="e">
        <f>VALUE(NFFT_All[[#This Row],[M8+]])</f>
        <v>#VALUE!</v>
      </c>
      <c r="I65">
        <f>IF(ISBLANK(NFFT_All[[#This Row],[M4+]]),"",ABS(NFFT_All[[#This Row],[M4+]]-('statistics-M4'!I76/365)))</f>
        <v>2.0148640674394103</v>
      </c>
      <c r="J65">
        <f>IF(ISBLANK(NFFT_All[[#This Row],[M5+]]),"",ABS(NFFT_All[[#This Row],[M5+]]-('statistics-M5'!$I76/365)))</f>
        <v>11.146054794520548</v>
      </c>
      <c r="K65" t="str">
        <f>IF(ISBLANK(NFFT_All[[#This Row],[M6+]]),"",ABS(NFFT_All[[#This Row],[M6+]]-('statistics-M6'!$I76/365)))</f>
        <v/>
      </c>
      <c r="L65" t="str">
        <f>IF(ISBLANK(NFFT_All[[#This Row],[M7+]]),"",ABS(NFFT_All[[#This Row],[M7+]]-('statistics-M7'!$I76/365)))</f>
        <v/>
      </c>
      <c r="M65" t="e">
        <f>IF(ISBLANK(NFFT_All[[#This Row],[M8+]]),"",ABS(NFFT_All[[#This Row],[M8+]]-('statistics-M8'!$I76/365)))</f>
        <v>#VALUE!</v>
      </c>
      <c r="O65">
        <f>IF(ISBLANK(NFFT_All[[#This Row],[M4+]]),"",ABS(NFFT_All[[#This Row],[M4+]]-('statistics-M4'!$F76/365)))</f>
        <v>2.3666027397260274</v>
      </c>
      <c r="P65">
        <f>IF(ISBLANK(NFFT_All[[#This Row],[M5+]]),"",ABS(NFFT_All[[#This Row],[M5+]]-('statistics-M5'!$F76/365)))</f>
        <v>13.58954794520548</v>
      </c>
      <c r="Q65" t="str">
        <f>IF(ISBLANK(NFFT_All[[#This Row],[M6+]]),"",ABS(NFFT_All[[#This Row],[M6+]]-('statistics-M6'!$F76/365)))</f>
        <v/>
      </c>
      <c r="R65" t="str">
        <f>IF(ISBLANK(NFFT_All[[#This Row],[M7+]]),"",ABS(NFFT_All[[#This Row],[M7+]]-('statistics-M7'!$F76/365)))</f>
        <v/>
      </c>
      <c r="S65" t="e">
        <f>IF(ISBLANK(NFFT_All[[#This Row],[M8+]]),"",ABS(NFFT_All[[#This Row],[M8+]]-('statistics-M8'!$F76/365)))</f>
        <v>#VALUE!</v>
      </c>
      <c r="U65">
        <f>IF(ISBLANK(NFFT_All[[#This Row],[M4+]]),"",ABS(NFFT_All[[#This Row],[M4+]]-('statistics-M4'!$J76/365)))</f>
        <v>2.1118082191780823</v>
      </c>
      <c r="V65">
        <f>IF(ISBLANK(NFFT_All[[#This Row],[M5+]]),"",ABS(NFFT_All[[#This Row],[M5+]]-('statistics-M5'!$J76/365)))</f>
        <v>12.02927397260274</v>
      </c>
      <c r="W65" t="str">
        <f>IF(ISBLANK(NFFT_All[[#This Row],[M6+]]),"",ABS(NFFT_All[[#This Row],[M6+]]-('statistics-M6'!$J76/365)))</f>
        <v/>
      </c>
      <c r="X65" t="str">
        <f>IF(ISBLANK(NFFT_All[[#This Row],[M7+]]),"",ABS(NFFT_All[[#This Row],[M7+]]-('statistics-M7'!$J76/365)))</f>
        <v/>
      </c>
      <c r="Y65" t="e">
        <f>IF(ISBLANK(NFFT_All[[#This Row],[M8+]]),"",ABS(NFFT_All[[#This Row],[M8+]]-('statistics-M8'!$J76/365)))</f>
        <v>#VALUE!</v>
      </c>
    </row>
    <row r="66" spans="1:25" x14ac:dyDescent="0.35">
      <c r="A66" t="s">
        <v>36</v>
      </c>
      <c r="B66">
        <v>2</v>
      </c>
      <c r="C66">
        <v>1.8380000000000001</v>
      </c>
      <c r="D66">
        <v>4.4829999999999997</v>
      </c>
      <c r="G66" t="s">
        <v>57</v>
      </c>
      <c r="H66" t="e">
        <f>VALUE(NFFT_All[[#This Row],[M8+]])</f>
        <v>#VALUE!</v>
      </c>
      <c r="I66">
        <f>IF(ISBLANK(NFFT_All[[#This Row],[M4+]]),"",ABS(NFFT_All[[#This Row],[M4+]]-('statistics-M4'!I77/365)))</f>
        <v>0.83041306638566925</v>
      </c>
      <c r="J66">
        <f>IF(ISBLANK(NFFT_All[[#This Row],[M5+]]),"",ABS(NFFT_All[[#This Row],[M5+]]-('statistics-M5'!$I77/365)))</f>
        <v>3.1604148226203019</v>
      </c>
      <c r="K66" t="str">
        <f>IF(ISBLANK(NFFT_All[[#This Row],[M6+]]),"",ABS(NFFT_All[[#This Row],[M6+]]-('statistics-M6'!$I77/365)))</f>
        <v/>
      </c>
      <c r="L66" t="str">
        <f>IF(ISBLANK(NFFT_All[[#This Row],[M7+]]),"",ABS(NFFT_All[[#This Row],[M7+]]-('statistics-M7'!$I77/365)))</f>
        <v/>
      </c>
      <c r="M66" t="e">
        <f>IF(ISBLANK(NFFT_All[[#This Row],[M8+]]),"",ABS(NFFT_All[[#This Row],[M8+]]-('statistics-M8'!$I77/365)))</f>
        <v>#VALUE!</v>
      </c>
      <c r="O66">
        <f>IF(ISBLANK(NFFT_All[[#This Row],[M4+]]),"",ABS(NFFT_All[[#This Row],[M4+]]-('statistics-M4'!$F77/365)))</f>
        <v>1.2434794520547947</v>
      </c>
      <c r="P66">
        <f>IF(ISBLANK(NFFT_All[[#This Row],[M5+]]),"",ABS(NFFT_All[[#This Row],[M5+]]-('statistics-M5'!$F77/365)))</f>
        <v>3.7953287671232872</v>
      </c>
      <c r="Q66" t="str">
        <f>IF(ISBLANK(NFFT_All[[#This Row],[M6+]]),"",ABS(NFFT_All[[#This Row],[M6+]]-('statistics-M6'!$F77/365)))</f>
        <v/>
      </c>
      <c r="R66" t="str">
        <f>IF(ISBLANK(NFFT_All[[#This Row],[M7+]]),"",ABS(NFFT_All[[#This Row],[M7+]]-('statistics-M7'!$F77/365)))</f>
        <v/>
      </c>
      <c r="S66" t="e">
        <f>IF(ISBLANK(NFFT_All[[#This Row],[M8+]]),"",ABS(NFFT_All[[#This Row],[M8+]]-('statistics-M8'!$F77/365)))</f>
        <v>#VALUE!</v>
      </c>
      <c r="U66">
        <f>IF(ISBLANK(NFFT_All[[#This Row],[M4+]]),"",ABS(NFFT_All[[#This Row],[M4+]]-('statistics-M4'!$J77/365)))</f>
        <v>1.0201917808219179</v>
      </c>
      <c r="V66">
        <f>IF(ISBLANK(NFFT_All[[#This Row],[M5+]]),"",ABS(NFFT_All[[#This Row],[M5+]]-('statistics-M5'!$J77/365)))</f>
        <v>3.4829999999999997</v>
      </c>
      <c r="W66" t="str">
        <f>IF(ISBLANK(NFFT_All[[#This Row],[M6+]]),"",ABS(NFFT_All[[#This Row],[M6+]]-('statistics-M6'!$J77/365)))</f>
        <v/>
      </c>
      <c r="X66" t="str">
        <f>IF(ISBLANK(NFFT_All[[#This Row],[M7+]]),"",ABS(NFFT_All[[#This Row],[M7+]]-('statistics-M7'!$J77/365)))</f>
        <v/>
      </c>
      <c r="Y66" t="e">
        <f>IF(ISBLANK(NFFT_All[[#This Row],[M8+]]),"",ABS(NFFT_All[[#This Row],[M8+]]-('statistics-M8'!$J77/365)))</f>
        <v>#VALUE!</v>
      </c>
    </row>
    <row r="67" spans="1:25" x14ac:dyDescent="0.35">
      <c r="A67" t="s">
        <v>36</v>
      </c>
      <c r="B67">
        <v>3</v>
      </c>
      <c r="C67">
        <v>2.0459999999999998</v>
      </c>
      <c r="D67">
        <v>5.7549999999999999</v>
      </c>
      <c r="G67" t="s">
        <v>57</v>
      </c>
      <c r="H67" t="e">
        <f>VALUE(NFFT_All[[#This Row],[M8+]])</f>
        <v>#VALUE!</v>
      </c>
      <c r="I67">
        <f>IF(ISBLANK(NFFT_All[[#This Row],[M4+]]),"",ABS(NFFT_All[[#This Row],[M4+]]-('statistics-M4'!I78/365)))</f>
        <v>0.69920836337418879</v>
      </c>
      <c r="J67">
        <f>IF(ISBLANK(NFFT_All[[#This Row],[M5+]]),"",ABS(NFFT_All[[#This Row],[M5+]]-('statistics-M5'!$I78/365)))</f>
        <v>3.661102117061021</v>
      </c>
      <c r="K67" t="str">
        <f>IF(ISBLANK(NFFT_All[[#This Row],[M6+]]),"",ABS(NFFT_All[[#This Row],[M6+]]-('statistics-M6'!$I78/365)))</f>
        <v/>
      </c>
      <c r="L67" t="str">
        <f>IF(ISBLANK(NFFT_All[[#This Row],[M7+]]),"",ABS(NFFT_All[[#This Row],[M7+]]-('statistics-M7'!$I78/365)))</f>
        <v/>
      </c>
      <c r="M67" t="e">
        <f>IF(ISBLANK(NFFT_All[[#This Row],[M8+]]),"",ABS(NFFT_All[[#This Row],[M8+]]-('statistics-M8'!$I78/365)))</f>
        <v>#VALUE!</v>
      </c>
      <c r="O67">
        <f>IF(ISBLANK(NFFT_All[[#This Row],[M4+]]),"",ABS(NFFT_All[[#This Row],[M4+]]-('statistics-M4'!$F78/365)))</f>
        <v>1.0596986301369862</v>
      </c>
      <c r="P67">
        <f>IF(ISBLANK(NFFT_All[[#This Row],[M5+]]),"",ABS(NFFT_All[[#This Row],[M5+]]-('statistics-M5'!$F78/365)))</f>
        <v>5.2591095890410955</v>
      </c>
      <c r="Q67" t="str">
        <f>IF(ISBLANK(NFFT_All[[#This Row],[M6+]]),"",ABS(NFFT_All[[#This Row],[M6+]]-('statistics-M6'!$F78/365)))</f>
        <v/>
      </c>
      <c r="R67" t="str">
        <f>IF(ISBLANK(NFFT_All[[#This Row],[M7+]]),"",ABS(NFFT_All[[#This Row],[M7+]]-('statistics-M7'!$F78/365)))</f>
        <v/>
      </c>
      <c r="S67" t="e">
        <f>IF(ISBLANK(NFFT_All[[#This Row],[M8+]]),"",ABS(NFFT_All[[#This Row],[M8+]]-('statistics-M8'!$F78/365)))</f>
        <v>#VALUE!</v>
      </c>
      <c r="U67">
        <f>IF(ISBLANK(NFFT_All[[#This Row],[M4+]]),"",ABS(NFFT_All[[#This Row],[M4+]]-('statistics-M4'!$J78/365)))</f>
        <v>1.0514794520547943</v>
      </c>
      <c r="V67">
        <f>IF(ISBLANK(NFFT_All[[#This Row],[M5+]]),"",ABS(NFFT_All[[#This Row],[M5+]]-('statistics-M5'!$J78/365)))</f>
        <v>4.1810273972602738</v>
      </c>
      <c r="W67" t="str">
        <f>IF(ISBLANK(NFFT_All[[#This Row],[M6+]]),"",ABS(NFFT_All[[#This Row],[M6+]]-('statistics-M6'!$J78/365)))</f>
        <v/>
      </c>
      <c r="X67" t="str">
        <f>IF(ISBLANK(NFFT_All[[#This Row],[M7+]]),"",ABS(NFFT_All[[#This Row],[M7+]]-('statistics-M7'!$J78/365)))</f>
        <v/>
      </c>
      <c r="Y67" t="e">
        <f>IF(ISBLANK(NFFT_All[[#This Row],[M8+]]),"",ABS(NFFT_All[[#This Row],[M8+]]-('statistics-M8'!$J78/365)))</f>
        <v>#VALUE!</v>
      </c>
    </row>
    <row r="68" spans="1:25" x14ac:dyDescent="0.35">
      <c r="A68" t="s">
        <v>37</v>
      </c>
      <c r="B68">
        <v>1</v>
      </c>
      <c r="C68">
        <v>6.6859999999999999</v>
      </c>
      <c r="D68">
        <v>6.6859999999999999</v>
      </c>
      <c r="G68" t="s">
        <v>57</v>
      </c>
      <c r="H68" t="e">
        <f>VALUE(NFFT_All[[#This Row],[M8+]])</f>
        <v>#VALUE!</v>
      </c>
      <c r="I68">
        <f>IF(ISBLANK(NFFT_All[[#This Row],[M4+]]),"",ABS(NFFT_All[[#This Row],[M4+]]-('statistics-M4'!I79/365)))</f>
        <v>4.8669661139149243</v>
      </c>
      <c r="J68">
        <f>IF(ISBLANK(NFFT_All[[#This Row],[M5+]]),"",ABS(NFFT_All[[#This Row],[M5+]]-('statistics-M5'!$I79/365)))</f>
        <v>4.6920590094836667</v>
      </c>
      <c r="K68" t="str">
        <f>IF(ISBLANK(NFFT_All[[#This Row],[M6+]]),"",ABS(NFFT_All[[#This Row],[M6+]]-('statistics-M6'!$I79/365)))</f>
        <v/>
      </c>
      <c r="L68" t="str">
        <f>IF(ISBLANK(NFFT_All[[#This Row],[M7+]]),"",ABS(NFFT_All[[#This Row],[M7+]]-('statistics-M7'!$I79/365)))</f>
        <v/>
      </c>
      <c r="M68" t="e">
        <f>IF(ISBLANK(NFFT_All[[#This Row],[M8+]]),"",ABS(NFFT_All[[#This Row],[M8+]]-('statistics-M8'!$I79/365)))</f>
        <v>#VALUE!</v>
      </c>
      <c r="O68">
        <f>IF(ISBLANK(NFFT_All[[#This Row],[M4+]]),"",ABS(NFFT_All[[#This Row],[M4+]]-('statistics-M4'!$F79/365)))</f>
        <v>6.1764109589041096</v>
      </c>
      <c r="P68">
        <f>IF(ISBLANK(NFFT_All[[#This Row],[M5+]]),"",ABS(NFFT_All[[#This Row],[M5+]]-('statistics-M5'!$F79/365)))</f>
        <v>6.1764109589041096</v>
      </c>
      <c r="Q68" t="str">
        <f>IF(ISBLANK(NFFT_All[[#This Row],[M6+]]),"",ABS(NFFT_All[[#This Row],[M6+]]-('statistics-M6'!$F79/365)))</f>
        <v/>
      </c>
      <c r="R68" t="str">
        <f>IF(ISBLANK(NFFT_All[[#This Row],[M7+]]),"",ABS(NFFT_All[[#This Row],[M7+]]-('statistics-M7'!$F79/365)))</f>
        <v/>
      </c>
      <c r="S68" t="e">
        <f>IF(ISBLANK(NFFT_All[[#This Row],[M8+]]),"",ABS(NFFT_All[[#This Row],[M8+]]-('statistics-M8'!$F79/365)))</f>
        <v>#VALUE!</v>
      </c>
      <c r="U68">
        <f>IF(ISBLANK(NFFT_All[[#This Row],[M4+]]),"",ABS(NFFT_All[[#This Row],[M4+]]-('statistics-M4'!$J79/365)))</f>
        <v>5.7133972602739727</v>
      </c>
      <c r="V68">
        <f>IF(ISBLANK(NFFT_All[[#This Row],[M5+]]),"",ABS(NFFT_All[[#This Row],[M5+]]-('statistics-M5'!$J79/365)))</f>
        <v>5.7339452054794524</v>
      </c>
      <c r="W68" t="str">
        <f>IF(ISBLANK(NFFT_All[[#This Row],[M6+]]),"",ABS(NFFT_All[[#This Row],[M6+]]-('statistics-M6'!$J79/365)))</f>
        <v/>
      </c>
      <c r="X68" t="str">
        <f>IF(ISBLANK(NFFT_All[[#This Row],[M7+]]),"",ABS(NFFT_All[[#This Row],[M7+]]-('statistics-M7'!$J79/365)))</f>
        <v/>
      </c>
      <c r="Y68" t="e">
        <f>IF(ISBLANK(NFFT_All[[#This Row],[M8+]]),"",ABS(NFFT_All[[#This Row],[M8+]]-('statistics-M8'!$J79/365)))</f>
        <v>#VALUE!</v>
      </c>
    </row>
    <row r="69" spans="1:25" x14ac:dyDescent="0.35">
      <c r="A69" t="s">
        <v>37</v>
      </c>
      <c r="B69">
        <v>2</v>
      </c>
      <c r="C69">
        <v>7.9</v>
      </c>
      <c r="D69">
        <v>14.670999999999999</v>
      </c>
      <c r="G69" t="s">
        <v>58</v>
      </c>
      <c r="H69" t="e">
        <f>VALUE(NFFT_All[[#This Row],[M8+]])</f>
        <v>#VALUE!</v>
      </c>
      <c r="I69">
        <f>IF(ISBLANK(NFFT_All[[#This Row],[M4+]]),"",ABS(NFFT_All[[#This Row],[M4+]]-('statistics-M4'!I80/365)))</f>
        <v>3.6189497716894987</v>
      </c>
      <c r="J69">
        <f>IF(ISBLANK(NFFT_All[[#This Row],[M5+]]),"",ABS(NFFT_All[[#This Row],[M5+]]-('statistics-M5'!$I80/365)))</f>
        <v>10.000763387297633</v>
      </c>
      <c r="K69" t="str">
        <f>IF(ISBLANK(NFFT_All[[#This Row],[M6+]]),"",ABS(NFFT_All[[#This Row],[M6+]]-('statistics-M6'!$I80/365)))</f>
        <v/>
      </c>
      <c r="L69" t="str">
        <f>IF(ISBLANK(NFFT_All[[#This Row],[M7+]]),"",ABS(NFFT_All[[#This Row],[M7+]]-('statistics-M7'!$I80/365)))</f>
        <v/>
      </c>
      <c r="M69" t="e">
        <f>IF(ISBLANK(NFFT_All[[#This Row],[M8+]]),"",ABS(NFFT_All[[#This Row],[M8+]]-('statistics-M8'!$I80/365)))</f>
        <v>#VALUE!</v>
      </c>
      <c r="O69">
        <f>IF(ISBLANK(NFFT_All[[#This Row],[M4+]]),"",ABS(NFFT_All[[#This Row],[M4+]]-('statistics-M4'!$F80/365)))</f>
        <v>7.0972602739726032</v>
      </c>
      <c r="P69">
        <f>IF(ISBLANK(NFFT_All[[#This Row],[M5+]]),"",ABS(NFFT_All[[#This Row],[M5+]]-('statistics-M5'!$F80/365)))</f>
        <v>13.868260273972602</v>
      </c>
      <c r="Q69" t="str">
        <f>IF(ISBLANK(NFFT_All[[#This Row],[M6+]]),"",ABS(NFFT_All[[#This Row],[M6+]]-('statistics-M6'!$F80/365)))</f>
        <v/>
      </c>
      <c r="R69" t="str">
        <f>IF(ISBLANK(NFFT_All[[#This Row],[M7+]]),"",ABS(NFFT_All[[#This Row],[M7+]]-('statistics-M7'!$F80/365)))</f>
        <v/>
      </c>
      <c r="S69" t="e">
        <f>IF(ISBLANK(NFFT_All[[#This Row],[M8+]]),"",ABS(NFFT_All[[#This Row],[M8+]]-('statistics-M8'!$F80/365)))</f>
        <v>#VALUE!</v>
      </c>
      <c r="U69">
        <f>IF(ISBLANK(NFFT_All[[#This Row],[M4+]]),"",ABS(NFFT_All[[#This Row],[M4+]]-('statistics-M4'!$J80/365)))</f>
        <v>4.0643835616438366</v>
      </c>
      <c r="V69">
        <f>IF(ISBLANK(NFFT_All[[#This Row],[M5+]]),"",ABS(NFFT_All[[#This Row],[M5+]]-('statistics-M5'!$J80/365)))</f>
        <v>10.06004109589041</v>
      </c>
      <c r="W69" t="str">
        <f>IF(ISBLANK(NFFT_All[[#This Row],[M6+]]),"",ABS(NFFT_All[[#This Row],[M6+]]-('statistics-M6'!$J80/365)))</f>
        <v/>
      </c>
      <c r="X69" t="str">
        <f>IF(ISBLANK(NFFT_All[[#This Row],[M7+]]),"",ABS(NFFT_All[[#This Row],[M7+]]-('statistics-M7'!$J80/365)))</f>
        <v/>
      </c>
      <c r="Y69" t="e">
        <f>IF(ISBLANK(NFFT_All[[#This Row],[M8+]]),"",ABS(NFFT_All[[#This Row],[M8+]]-('statistics-M8'!$J80/365)))</f>
        <v>#VALUE!</v>
      </c>
    </row>
    <row r="70" spans="1:25" x14ac:dyDescent="0.35">
      <c r="H70" t="s">
        <v>33</v>
      </c>
      <c r="I70" s="2">
        <f>ROUND(AVERAGE(I2:I69),3)</f>
        <v>4.0759999999999996</v>
      </c>
      <c r="J70" s="2">
        <f>ROUND(AVERAGE(J2:J69),3)</f>
        <v>5.0389999999999997</v>
      </c>
      <c r="K70" s="2">
        <f>ROUND(AVERAGE(K2:K69),3)</f>
        <v>7.6529999999999996</v>
      </c>
      <c r="L70" s="2">
        <f>ROUND(AVERAGE(L2:L69),3)</f>
        <v>8.7230000000000008</v>
      </c>
      <c r="M70" s="2">
        <f>ROUND(_xlfn.AGGREGATE(1,6,M2:M69),3)</f>
        <v>13.656000000000001</v>
      </c>
      <c r="O70" s="2">
        <f>ROUND(AVERAGE(O2:O69),3)</f>
        <v>5.1740000000000004</v>
      </c>
      <c r="P70" s="2">
        <f>ROUND(AVERAGE(P2:P69),3)</f>
        <v>6.3330000000000002</v>
      </c>
      <c r="Q70" s="2">
        <f>ROUND(AVERAGE(Q2:Q69),3)</f>
        <v>9.7319999999999993</v>
      </c>
      <c r="R70" s="2">
        <f>ROUND(AVERAGE(R2:R69),3)</f>
        <v>11.287000000000001</v>
      </c>
      <c r="S70" s="2">
        <f>ROUND(_xlfn.AGGREGATE(1,6,S2:S69),3)</f>
        <v>23.369</v>
      </c>
      <c r="U70" s="2">
        <f>ROUND(AVERAGE(U2:U69),3)</f>
        <v>4.7409999999999997</v>
      </c>
      <c r="V70" s="2">
        <f>ROUND(AVERAGE(V2:V69),3)</f>
        <v>5.6879999999999997</v>
      </c>
      <c r="W70" s="2">
        <f>ROUND(AVERAGE(W2:W69),3)</f>
        <v>8.5609999999999999</v>
      </c>
      <c r="X70" s="2">
        <f>ROUND(AVERAGE(X2:X69),3)</f>
        <v>9.6809999999999992</v>
      </c>
      <c r="Y70" s="2">
        <f>ROUND(_xlfn.AGGREGATE(1,6,Y2:Y69),3)</f>
        <v>15.311999999999999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454B1-C2B8-4CC7-A905-6FD987B7C161}">
  <dimension ref="A1:F13"/>
  <sheetViews>
    <sheetView tabSelected="1" workbookViewId="0">
      <selection activeCell="E5" sqref="E5"/>
    </sheetView>
  </sheetViews>
  <sheetFormatPr defaultRowHeight="14.5" x14ac:dyDescent="0.35"/>
  <cols>
    <col min="1" max="1" width="16.36328125" customWidth="1"/>
  </cols>
  <sheetData>
    <row r="1" spans="1:6" x14ac:dyDescent="0.35">
      <c r="B1" s="1" t="s">
        <v>43</v>
      </c>
      <c r="C1" s="1" t="s">
        <v>44</v>
      </c>
      <c r="D1" s="1" t="s">
        <v>45</v>
      </c>
      <c r="E1" s="1" t="s">
        <v>46</v>
      </c>
      <c r="F1" s="1" t="s">
        <v>47</v>
      </c>
    </row>
    <row r="2" spans="1:6" x14ac:dyDescent="0.35">
      <c r="A2" t="s">
        <v>48</v>
      </c>
      <c r="B2" s="2">
        <f>ROUND(AVERAGE('statistics-M4'!I:I)/365.25,3)</f>
        <v>1.8280000000000001</v>
      </c>
      <c r="C2" s="2">
        <f>ROUND(AVERAGE('statistics-M5'!I:I)/365.25,3)</f>
        <v>2.8719999999999999</v>
      </c>
      <c r="D2" s="2">
        <f>ROUND(AVERAGE('statistics-M6'!I:I)/365.25,3)</f>
        <v>7.75</v>
      </c>
      <c r="E2" s="2">
        <f>ROUND(AVERAGE('statistics-M7'!I:I)/365.25,3)</f>
        <v>15.259</v>
      </c>
      <c r="F2" s="2">
        <f>ROUND(AVERAGE('statistics-M8'!I:I)/365.25,3)</f>
        <v>22.193000000000001</v>
      </c>
    </row>
    <row r="3" spans="1:6" x14ac:dyDescent="0.35">
      <c r="A3" t="s">
        <v>49</v>
      </c>
      <c r="B3" s="2">
        <f>ROUND(AVERAGE('statistics-M4'!F:F)/365.25,3)</f>
        <v>0.64800000000000002</v>
      </c>
      <c r="C3" s="2">
        <f>ROUND(AVERAGE('statistics-M5'!F:F)/365.25,3)</f>
        <v>0.70199999999999996</v>
      </c>
      <c r="D3" s="2">
        <f>ROUND(AVERAGE('statistics-M6'!F:F)/365.25,3)</f>
        <v>3.319</v>
      </c>
      <c r="E3" s="2">
        <f>ROUND(AVERAGE('statistics-M7'!F:F)/365.25,3)</f>
        <v>7.3319999999999999</v>
      </c>
      <c r="F3" s="2">
        <f>ROUND(AVERAGE('statistics-M8'!F:F)/365.25,3)</f>
        <v>9.9559999999999995</v>
      </c>
    </row>
    <row r="4" spans="1:6" x14ac:dyDescent="0.35">
      <c r="A4" t="s">
        <v>50</v>
      </c>
      <c r="B4" s="2">
        <f>ROUND(AVERAGE('statistics-M4'!J:J)/365.25,3)</f>
        <v>1.0920000000000001</v>
      </c>
      <c r="C4" s="2">
        <f>ROUND(AVERAGE('statistics-M5'!J:J)/365.25,3)</f>
        <v>1.839</v>
      </c>
      <c r="D4" s="2">
        <f>ROUND(AVERAGE('statistics-M6'!J:J)/365.25,3)</f>
        <v>6.4210000000000003</v>
      </c>
      <c r="E4" s="2">
        <f>ROUND(AVERAGE('statistics-M7'!J:J)/365.25,3)</f>
        <v>13.430999999999999</v>
      </c>
      <c r="F4" s="2">
        <f>ROUND(AVERAGE('statistics-M8'!J:J)/365.25,3)</f>
        <v>18.271000000000001</v>
      </c>
    </row>
    <row r="5" spans="1:6" x14ac:dyDescent="0.35">
      <c r="A5" t="s">
        <v>7</v>
      </c>
      <c r="B5" s="2">
        <f>ROUND(AVERAGE(NFFT_All!C:C),3)</f>
        <v>5.8109999999999999</v>
      </c>
      <c r="C5" s="2">
        <f>ROUND(AVERAGE(NFFT_All!D:D),3)</f>
        <v>6.9649999999999999</v>
      </c>
      <c r="D5" s="2">
        <f>ROUND(AVERAGE(NFFT_All!E:E),3)</f>
        <v>10.602</v>
      </c>
      <c r="E5" s="2">
        <f>ROUND(AVERAGE(NFFT_All!F:F),3)</f>
        <v>12.202</v>
      </c>
      <c r="F5" s="4">
        <f>ROUND(_xlfn.AGGREGATE(1,6,NFFT_All!H:H),3)</f>
        <v>24.710999999999999</v>
      </c>
    </row>
    <row r="6" spans="1:6" x14ac:dyDescent="0.35">
      <c r="A6" t="s">
        <v>8</v>
      </c>
      <c r="B6" s="2">
        <f>ROUND(AVERAGE(LSP_All!C:C),3)</f>
        <v>10.731</v>
      </c>
      <c r="C6" s="2">
        <f>ROUND(AVERAGE(LSP_All!D:D),3)</f>
        <v>10.111000000000001</v>
      </c>
      <c r="D6" s="2">
        <f>ROUND(AVERAGE(LSP_All!E:E),3)</f>
        <v>15.917</v>
      </c>
      <c r="E6" s="2">
        <f>ROUND(AVERAGE(LSP_All!F:F),3)</f>
        <v>14.228999999999999</v>
      </c>
      <c r="F6" s="2">
        <f>ROUND(AVERAGE(LSP_All!G:G),3)</f>
        <v>29.844000000000001</v>
      </c>
    </row>
    <row r="7" spans="1:6" x14ac:dyDescent="0.35">
      <c r="A7" t="s">
        <v>59</v>
      </c>
      <c r="B7" t="s">
        <v>60</v>
      </c>
    </row>
    <row r="8" spans="1:6" x14ac:dyDescent="0.35">
      <c r="A8" t="s">
        <v>61</v>
      </c>
      <c r="B8" s="2">
        <f>NFFT_All!I70</f>
        <v>4.0759999999999996</v>
      </c>
      <c r="C8" s="3">
        <f>NFFT_All!J70</f>
        <v>5.0389999999999997</v>
      </c>
      <c r="D8" s="3">
        <f>NFFT_All!K70</f>
        <v>7.6529999999999996</v>
      </c>
      <c r="E8" s="3">
        <f>NFFT_All!L70</f>
        <v>8.7230000000000008</v>
      </c>
      <c r="F8" s="4">
        <f>NFFT_All!M70</f>
        <v>13.656000000000001</v>
      </c>
    </row>
    <row r="9" spans="1:6" x14ac:dyDescent="0.35">
      <c r="A9" t="s">
        <v>62</v>
      </c>
      <c r="B9" s="2">
        <f>NFFT_All!O70</f>
        <v>5.1740000000000004</v>
      </c>
      <c r="C9" s="3">
        <f>NFFT_All!P70</f>
        <v>6.3330000000000002</v>
      </c>
      <c r="D9" s="3">
        <f>NFFT_All!Q70</f>
        <v>9.7319999999999993</v>
      </c>
      <c r="E9" s="3">
        <f>NFFT_All!R70</f>
        <v>11.287000000000001</v>
      </c>
      <c r="F9" s="4">
        <f>NFFT_All!S70</f>
        <v>23.369</v>
      </c>
    </row>
    <row r="10" spans="1:6" x14ac:dyDescent="0.35">
      <c r="A10" t="s">
        <v>63</v>
      </c>
      <c r="B10" s="2">
        <f>NFFT_All!U70</f>
        <v>4.7409999999999997</v>
      </c>
      <c r="C10" s="3">
        <f>NFFT_All!V70</f>
        <v>5.6879999999999997</v>
      </c>
      <c r="D10" s="3">
        <f>NFFT_All!W70</f>
        <v>8.5609999999999999</v>
      </c>
      <c r="E10" s="3">
        <f>NFFT_All!X70</f>
        <v>9.6809999999999992</v>
      </c>
      <c r="F10" s="4">
        <f>NFFT_All!Y70</f>
        <v>15.311999999999999</v>
      </c>
    </row>
    <row r="11" spans="1:6" x14ac:dyDescent="0.35">
      <c r="A11" t="s">
        <v>64</v>
      </c>
      <c r="B11" s="2">
        <f>LSP_All!I70</f>
        <v>8.9320000000000004</v>
      </c>
      <c r="C11" s="2">
        <f>LSP_All!J70</f>
        <v>8.157</v>
      </c>
      <c r="D11" s="2">
        <f>LSP_All!K70</f>
        <v>12.746</v>
      </c>
      <c r="E11" s="2">
        <f>LSP_All!L70</f>
        <v>10.494</v>
      </c>
      <c r="F11" s="2">
        <f>LSP_All!M70</f>
        <v>18.789000000000001</v>
      </c>
    </row>
    <row r="12" spans="1:6" x14ac:dyDescent="0.35">
      <c r="A12" t="s">
        <v>65</v>
      </c>
      <c r="B12" s="2">
        <f>LSP_All!O70</f>
        <v>10.093999999999999</v>
      </c>
      <c r="C12" s="2">
        <f>LSP_All!P70</f>
        <v>9.4789999999999992</v>
      </c>
      <c r="D12" s="2">
        <f>LSP_All!Q70</f>
        <v>15.034000000000001</v>
      </c>
      <c r="E12" s="2">
        <f>LSP_All!R70</f>
        <v>13.289</v>
      </c>
      <c r="F12" s="2">
        <f>LSP_All!S70</f>
        <v>28.501999999999999</v>
      </c>
    </row>
    <row r="13" spans="1:6" x14ac:dyDescent="0.35">
      <c r="A13" t="s">
        <v>66</v>
      </c>
      <c r="B13" s="2">
        <f>LSP_All!U70</f>
        <v>9.6609999999999996</v>
      </c>
      <c r="C13" s="2">
        <f>LSP_All!V70</f>
        <v>8.8350000000000009</v>
      </c>
      <c r="D13" s="2">
        <f>LSP_All!W70</f>
        <v>13.625</v>
      </c>
      <c r="E13" s="2">
        <f>LSP_All!X70</f>
        <v>11.315</v>
      </c>
      <c r="F13" s="2">
        <f>LSP_All!Y70</f>
        <v>20.445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195FC-32DF-4729-B071-8521E52442BC}">
  <dimension ref="A1:K80"/>
  <sheetViews>
    <sheetView workbookViewId="0">
      <selection activeCell="D9" sqref="D9"/>
    </sheetView>
  </sheetViews>
  <sheetFormatPr defaultRowHeight="14.5" x14ac:dyDescent="0.35"/>
  <cols>
    <col min="1" max="1" width="16.6328125" bestFit="1" customWidth="1"/>
    <col min="2" max="2" width="11.26953125" bestFit="1" customWidth="1"/>
    <col min="3" max="3" width="10.54296875" bestFit="1" customWidth="1"/>
    <col min="4" max="4" width="18.7265625" bestFit="1" customWidth="1"/>
    <col min="5" max="5" width="11.90625" bestFit="1" customWidth="1"/>
    <col min="6" max="6" width="13.36328125" bestFit="1" customWidth="1"/>
    <col min="7" max="7" width="10.26953125" bestFit="1" customWidth="1"/>
    <col min="8" max="8" width="10.6328125" bestFit="1" customWidth="1"/>
    <col min="9" max="9" width="11.81640625" bestFit="1" customWidth="1"/>
    <col min="10" max="10" width="13.36328125" bestFit="1" customWidth="1"/>
    <col min="11" max="11" width="11.81640625" bestFit="1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38</v>
      </c>
      <c r="F1" t="s">
        <v>4</v>
      </c>
      <c r="G1" t="s">
        <v>39</v>
      </c>
      <c r="H1" t="s">
        <v>40</v>
      </c>
      <c r="I1" t="s">
        <v>5</v>
      </c>
      <c r="J1" t="s">
        <v>6</v>
      </c>
      <c r="K1" t="s">
        <v>41</v>
      </c>
    </row>
    <row r="2" spans="1:11" x14ac:dyDescent="0.35">
      <c r="A2" t="s">
        <v>9</v>
      </c>
      <c r="B2">
        <v>1</v>
      </c>
      <c r="C2">
        <v>0.88200000000000001</v>
      </c>
      <c r="D2">
        <v>144</v>
      </c>
      <c r="E2">
        <v>143</v>
      </c>
      <c r="F2">
        <v>194</v>
      </c>
      <c r="G2">
        <v>185</v>
      </c>
      <c r="H2">
        <v>1218</v>
      </c>
      <c r="I2">
        <v>322.23776223776224</v>
      </c>
      <c r="J2">
        <v>296</v>
      </c>
      <c r="K2">
        <v>124.32463471810253</v>
      </c>
    </row>
    <row r="3" spans="1:11" x14ac:dyDescent="0.35">
      <c r="A3" t="s">
        <v>9</v>
      </c>
      <c r="B3">
        <v>2</v>
      </c>
      <c r="C3">
        <v>0.96899999999999997</v>
      </c>
      <c r="D3">
        <v>130</v>
      </c>
      <c r="E3">
        <v>129</v>
      </c>
      <c r="F3">
        <v>198</v>
      </c>
      <c r="G3">
        <v>184</v>
      </c>
      <c r="H3">
        <v>1157</v>
      </c>
      <c r="I3">
        <v>353.99224806201551</v>
      </c>
      <c r="J3">
        <v>302</v>
      </c>
      <c r="K3">
        <v>172.08274988540981</v>
      </c>
    </row>
    <row r="4" spans="1:11" x14ac:dyDescent="0.35">
      <c r="A4" t="s">
        <v>9</v>
      </c>
      <c r="B4">
        <v>3</v>
      </c>
      <c r="C4">
        <v>3.52</v>
      </c>
      <c r="D4">
        <v>28</v>
      </c>
      <c r="E4">
        <v>27</v>
      </c>
      <c r="F4">
        <v>190</v>
      </c>
      <c r="G4">
        <v>190</v>
      </c>
      <c r="H4">
        <v>10761</v>
      </c>
      <c r="I4">
        <v>1285.7777777777778</v>
      </c>
      <c r="J4">
        <v>475</v>
      </c>
      <c r="K4">
        <v>2066.2410553382761</v>
      </c>
    </row>
    <row r="5" spans="1:11" x14ac:dyDescent="0.35">
      <c r="A5" t="s">
        <v>10</v>
      </c>
      <c r="B5">
        <v>1</v>
      </c>
      <c r="C5">
        <v>0.90400000000000003</v>
      </c>
      <c r="D5">
        <v>141</v>
      </c>
      <c r="E5">
        <v>140</v>
      </c>
      <c r="F5">
        <v>216</v>
      </c>
      <c r="G5">
        <v>182</v>
      </c>
      <c r="H5">
        <v>1579</v>
      </c>
      <c r="I5">
        <v>330.02857142857141</v>
      </c>
      <c r="J5">
        <v>286</v>
      </c>
      <c r="K5">
        <v>156.58292840979743</v>
      </c>
    </row>
    <row r="6" spans="1:11" x14ac:dyDescent="0.35">
      <c r="A6" t="s">
        <v>10</v>
      </c>
      <c r="B6">
        <v>2</v>
      </c>
      <c r="C6">
        <v>1.244</v>
      </c>
      <c r="D6">
        <v>59</v>
      </c>
      <c r="E6">
        <v>58</v>
      </c>
      <c r="F6">
        <v>182</v>
      </c>
      <c r="G6">
        <v>181</v>
      </c>
      <c r="H6">
        <v>3496</v>
      </c>
      <c r="I6">
        <v>454.24137931034483</v>
      </c>
      <c r="J6">
        <v>361.5</v>
      </c>
      <c r="K6">
        <v>447.42706245687367</v>
      </c>
    </row>
    <row r="7" spans="1:11" x14ac:dyDescent="0.35">
      <c r="A7" t="s">
        <v>10</v>
      </c>
      <c r="B7">
        <v>3</v>
      </c>
      <c r="C7">
        <v>2.2639999999999998</v>
      </c>
      <c r="D7">
        <v>49</v>
      </c>
      <c r="E7">
        <v>48</v>
      </c>
      <c r="F7">
        <v>224</v>
      </c>
      <c r="G7">
        <v>181</v>
      </c>
      <c r="H7">
        <v>15863</v>
      </c>
      <c r="I7">
        <v>826.97916666666663</v>
      </c>
      <c r="J7">
        <v>413.5</v>
      </c>
      <c r="K7">
        <v>2245.3568989656496</v>
      </c>
    </row>
    <row r="8" spans="1:11" x14ac:dyDescent="0.35">
      <c r="A8" t="s">
        <v>11</v>
      </c>
      <c r="B8">
        <v>1</v>
      </c>
      <c r="C8">
        <v>0.86399999999999999</v>
      </c>
      <c r="D8">
        <v>145</v>
      </c>
      <c r="E8">
        <v>144</v>
      </c>
      <c r="F8">
        <v>183</v>
      </c>
      <c r="G8">
        <v>181</v>
      </c>
      <c r="H8">
        <v>1016</v>
      </c>
      <c r="I8">
        <v>315.73611111111109</v>
      </c>
      <c r="J8">
        <v>272.5</v>
      </c>
      <c r="K8">
        <v>136.21199705030426</v>
      </c>
    </row>
    <row r="9" spans="1:11" x14ac:dyDescent="0.35">
      <c r="A9" t="s">
        <v>11</v>
      </c>
      <c r="B9">
        <v>2</v>
      </c>
      <c r="C9">
        <v>3.8439999999999999</v>
      </c>
      <c r="D9">
        <v>8</v>
      </c>
      <c r="E9">
        <v>7</v>
      </c>
      <c r="F9">
        <v>512</v>
      </c>
      <c r="G9">
        <v>512</v>
      </c>
      <c r="H9">
        <v>2742</v>
      </c>
      <c r="I9">
        <v>1404.1428571428571</v>
      </c>
      <c r="J9">
        <v>968</v>
      </c>
      <c r="K9">
        <v>801.6325179766294</v>
      </c>
    </row>
    <row r="10" spans="1:11" x14ac:dyDescent="0.35">
      <c r="A10" t="s">
        <v>11</v>
      </c>
      <c r="B10">
        <v>3</v>
      </c>
    </row>
    <row r="11" spans="1:11" x14ac:dyDescent="0.35">
      <c r="A11" t="s">
        <v>12</v>
      </c>
      <c r="B11">
        <v>1</v>
      </c>
      <c r="C11">
        <v>0.95499999999999996</v>
      </c>
      <c r="D11">
        <v>130</v>
      </c>
      <c r="E11">
        <v>129</v>
      </c>
      <c r="F11">
        <v>222</v>
      </c>
      <c r="G11">
        <v>182</v>
      </c>
      <c r="H11">
        <v>1204</v>
      </c>
      <c r="I11">
        <v>348.87596899224809</v>
      </c>
      <c r="J11">
        <v>316</v>
      </c>
      <c r="K11">
        <v>157.50171687273604</v>
      </c>
    </row>
    <row r="12" spans="1:11" x14ac:dyDescent="0.35">
      <c r="A12" t="s">
        <v>12</v>
      </c>
      <c r="B12">
        <v>2</v>
      </c>
    </row>
    <row r="13" spans="1:11" x14ac:dyDescent="0.35">
      <c r="A13" t="s">
        <v>12</v>
      </c>
      <c r="B13">
        <v>3</v>
      </c>
    </row>
    <row r="14" spans="1:11" x14ac:dyDescent="0.35">
      <c r="A14" t="s">
        <v>13</v>
      </c>
      <c r="B14">
        <v>1</v>
      </c>
      <c r="C14">
        <v>0.89600000000000002</v>
      </c>
      <c r="D14">
        <v>141</v>
      </c>
      <c r="E14">
        <v>140</v>
      </c>
      <c r="F14">
        <v>181</v>
      </c>
      <c r="G14">
        <v>181</v>
      </c>
      <c r="H14">
        <v>759</v>
      </c>
      <c r="I14">
        <v>327.15714285714284</v>
      </c>
      <c r="J14">
        <v>307.5</v>
      </c>
      <c r="K14">
        <v>115.09314683759234</v>
      </c>
    </row>
    <row r="15" spans="1:11" x14ac:dyDescent="0.35">
      <c r="A15" t="s">
        <v>13</v>
      </c>
      <c r="B15">
        <v>2</v>
      </c>
      <c r="C15">
        <v>0.876</v>
      </c>
      <c r="D15">
        <v>145</v>
      </c>
      <c r="E15">
        <v>144</v>
      </c>
      <c r="F15">
        <v>183</v>
      </c>
      <c r="G15">
        <v>182</v>
      </c>
      <c r="H15">
        <v>966</v>
      </c>
      <c r="I15">
        <v>319.82638888888891</v>
      </c>
      <c r="J15">
        <v>295.5</v>
      </c>
      <c r="K15">
        <v>113.73759577428842</v>
      </c>
    </row>
    <row r="16" spans="1:11" x14ac:dyDescent="0.35">
      <c r="A16" t="s">
        <v>13</v>
      </c>
      <c r="B16">
        <v>3</v>
      </c>
      <c r="C16">
        <v>0.95699999999999996</v>
      </c>
      <c r="D16">
        <v>130</v>
      </c>
      <c r="E16">
        <v>129</v>
      </c>
      <c r="F16">
        <v>281</v>
      </c>
      <c r="G16">
        <v>182</v>
      </c>
      <c r="H16">
        <v>1412</v>
      </c>
      <c r="I16">
        <v>349.62790697674421</v>
      </c>
      <c r="J16">
        <v>304</v>
      </c>
      <c r="K16">
        <v>169.70426030417354</v>
      </c>
    </row>
    <row r="17" spans="1:11" x14ac:dyDescent="0.35">
      <c r="A17" t="s">
        <v>14</v>
      </c>
      <c r="B17">
        <v>1</v>
      </c>
      <c r="C17">
        <v>1</v>
      </c>
      <c r="D17">
        <v>127</v>
      </c>
      <c r="E17">
        <v>126</v>
      </c>
      <c r="F17">
        <v>187</v>
      </c>
      <c r="G17">
        <v>185</v>
      </c>
      <c r="H17">
        <v>1181</v>
      </c>
      <c r="I17">
        <v>365.10317460317458</v>
      </c>
      <c r="J17">
        <v>334.5</v>
      </c>
      <c r="K17">
        <v>168.73186342820267</v>
      </c>
    </row>
    <row r="18" spans="1:11" x14ac:dyDescent="0.35">
      <c r="A18" t="s">
        <v>14</v>
      </c>
      <c r="B18">
        <v>2</v>
      </c>
      <c r="C18">
        <v>1.0129999999999999</v>
      </c>
      <c r="D18">
        <v>123</v>
      </c>
      <c r="E18">
        <v>122</v>
      </c>
      <c r="F18">
        <v>242</v>
      </c>
      <c r="G18">
        <v>184</v>
      </c>
      <c r="H18">
        <v>2958</v>
      </c>
      <c r="I18">
        <v>369.88524590163934</v>
      </c>
      <c r="J18">
        <v>299.5</v>
      </c>
      <c r="K18">
        <v>289.48414256865613</v>
      </c>
    </row>
    <row r="19" spans="1:11" x14ac:dyDescent="0.35">
      <c r="A19" t="s">
        <v>14</v>
      </c>
      <c r="B19">
        <v>3</v>
      </c>
      <c r="C19">
        <v>1.534</v>
      </c>
      <c r="D19">
        <v>65</v>
      </c>
      <c r="E19">
        <v>64</v>
      </c>
      <c r="F19">
        <v>223</v>
      </c>
      <c r="G19">
        <v>188</v>
      </c>
      <c r="H19">
        <v>6001</v>
      </c>
      <c r="I19">
        <v>560.375</v>
      </c>
      <c r="J19">
        <v>351.5</v>
      </c>
      <c r="K19">
        <v>835.29980583321105</v>
      </c>
    </row>
    <row r="20" spans="1:11" x14ac:dyDescent="0.35">
      <c r="A20" t="s">
        <v>15</v>
      </c>
      <c r="B20">
        <v>1</v>
      </c>
      <c r="C20">
        <v>1.177</v>
      </c>
      <c r="D20">
        <v>99</v>
      </c>
      <c r="E20">
        <v>98</v>
      </c>
      <c r="F20">
        <v>306</v>
      </c>
      <c r="G20">
        <v>193</v>
      </c>
      <c r="H20">
        <v>1941</v>
      </c>
      <c r="I20">
        <v>430.03061224489795</v>
      </c>
      <c r="J20">
        <v>333.5</v>
      </c>
      <c r="K20">
        <v>281.66108792420295</v>
      </c>
    </row>
    <row r="21" spans="1:11" x14ac:dyDescent="0.35">
      <c r="A21" t="s">
        <v>15</v>
      </c>
      <c r="B21">
        <v>2</v>
      </c>
      <c r="C21">
        <v>1.8260000000000001</v>
      </c>
      <c r="D21">
        <v>47</v>
      </c>
      <c r="E21">
        <v>46</v>
      </c>
      <c r="F21">
        <v>343</v>
      </c>
      <c r="G21">
        <v>198</v>
      </c>
      <c r="H21">
        <v>4603</v>
      </c>
      <c r="I21">
        <v>666.91304347826087</v>
      </c>
      <c r="J21">
        <v>401.5</v>
      </c>
      <c r="K21">
        <v>860.18480891145794</v>
      </c>
    </row>
    <row r="22" spans="1:11" x14ac:dyDescent="0.35">
      <c r="A22" t="s">
        <v>15</v>
      </c>
      <c r="B22">
        <v>3</v>
      </c>
      <c r="C22">
        <v>2.5489999999999999</v>
      </c>
      <c r="D22">
        <v>20</v>
      </c>
      <c r="E22">
        <v>19</v>
      </c>
      <c r="F22">
        <v>244</v>
      </c>
      <c r="G22">
        <v>244</v>
      </c>
      <c r="H22">
        <v>4149</v>
      </c>
      <c r="I22">
        <v>931</v>
      </c>
      <c r="J22">
        <v>623</v>
      </c>
      <c r="K22">
        <v>906.30475878121354</v>
      </c>
    </row>
    <row r="23" spans="1:11" x14ac:dyDescent="0.35">
      <c r="A23" t="s">
        <v>16</v>
      </c>
      <c r="B23">
        <v>1</v>
      </c>
      <c r="C23">
        <v>1.254</v>
      </c>
      <c r="D23">
        <v>100</v>
      </c>
      <c r="E23">
        <v>99</v>
      </c>
      <c r="F23">
        <v>184</v>
      </c>
      <c r="G23">
        <v>184</v>
      </c>
      <c r="H23">
        <v>3777</v>
      </c>
      <c r="I23">
        <v>458.13131313131311</v>
      </c>
      <c r="J23">
        <v>325</v>
      </c>
      <c r="K23">
        <v>468.45763790810076</v>
      </c>
    </row>
    <row r="24" spans="1:11" x14ac:dyDescent="0.35">
      <c r="A24" t="s">
        <v>16</v>
      </c>
      <c r="B24">
        <v>2</v>
      </c>
      <c r="C24">
        <v>5.9880000000000004</v>
      </c>
      <c r="D24">
        <v>20</v>
      </c>
      <c r="E24">
        <v>19</v>
      </c>
      <c r="F24">
        <v>211</v>
      </c>
      <c r="G24">
        <v>211</v>
      </c>
      <c r="H24">
        <v>23247</v>
      </c>
      <c r="I24">
        <v>2186.9473684210525</v>
      </c>
      <c r="J24">
        <v>786</v>
      </c>
      <c r="K24">
        <v>5007.135208602811</v>
      </c>
    </row>
    <row r="25" spans="1:11" x14ac:dyDescent="0.35">
      <c r="A25" t="s">
        <v>16</v>
      </c>
      <c r="B25">
        <v>3</v>
      </c>
    </row>
    <row r="26" spans="1:11" x14ac:dyDescent="0.35">
      <c r="A26" t="s">
        <v>17</v>
      </c>
      <c r="B26">
        <v>1</v>
      </c>
      <c r="C26">
        <v>0.84</v>
      </c>
      <c r="D26">
        <v>150</v>
      </c>
      <c r="E26">
        <v>149</v>
      </c>
      <c r="F26">
        <v>187</v>
      </c>
      <c r="G26">
        <v>181</v>
      </c>
      <c r="H26">
        <v>1177</v>
      </c>
      <c r="I26">
        <v>306.91946308724835</v>
      </c>
      <c r="J26">
        <v>277</v>
      </c>
      <c r="K26">
        <v>124.62666486086594</v>
      </c>
    </row>
    <row r="27" spans="1:11" x14ac:dyDescent="0.35">
      <c r="A27" t="s">
        <v>17</v>
      </c>
      <c r="B27">
        <v>2</v>
      </c>
      <c r="C27">
        <v>1.657</v>
      </c>
      <c r="D27">
        <v>77</v>
      </c>
      <c r="E27">
        <v>76</v>
      </c>
      <c r="F27">
        <v>255</v>
      </c>
      <c r="G27">
        <v>182</v>
      </c>
      <c r="H27">
        <v>14055</v>
      </c>
      <c r="I27">
        <v>605.28947368421052</v>
      </c>
      <c r="J27">
        <v>256.5</v>
      </c>
      <c r="K27">
        <v>1717.3931347722573</v>
      </c>
    </row>
    <row r="28" spans="1:11" x14ac:dyDescent="0.35">
      <c r="A28" t="s">
        <v>17</v>
      </c>
      <c r="B28">
        <v>3</v>
      </c>
      <c r="C28">
        <v>1.96</v>
      </c>
      <c r="D28">
        <v>62</v>
      </c>
      <c r="E28">
        <v>61</v>
      </c>
      <c r="F28">
        <v>464</v>
      </c>
      <c r="G28">
        <v>182</v>
      </c>
      <c r="H28">
        <v>20752</v>
      </c>
      <c r="I28">
        <v>715.81967213114751</v>
      </c>
      <c r="J28">
        <v>340</v>
      </c>
      <c r="K28">
        <v>2595.7717100624527</v>
      </c>
    </row>
    <row r="29" spans="1:11" x14ac:dyDescent="0.35">
      <c r="A29" t="s">
        <v>18</v>
      </c>
      <c r="B29">
        <v>1</v>
      </c>
      <c r="C29">
        <v>1.2210000000000001</v>
      </c>
      <c r="D29">
        <v>102</v>
      </c>
      <c r="E29">
        <v>101</v>
      </c>
      <c r="F29">
        <v>193</v>
      </c>
      <c r="G29">
        <v>181</v>
      </c>
      <c r="H29">
        <v>4597</v>
      </c>
      <c r="I29">
        <v>445.84158415841586</v>
      </c>
      <c r="J29">
        <v>323</v>
      </c>
      <c r="K29">
        <v>488.01949183344277</v>
      </c>
    </row>
    <row r="30" spans="1:11" x14ac:dyDescent="0.35">
      <c r="A30" t="s">
        <v>18</v>
      </c>
      <c r="B30">
        <v>2</v>
      </c>
      <c r="C30">
        <v>1.492</v>
      </c>
      <c r="D30">
        <v>74</v>
      </c>
      <c r="E30">
        <v>73</v>
      </c>
      <c r="F30">
        <v>231</v>
      </c>
      <c r="G30">
        <v>181</v>
      </c>
      <c r="H30">
        <v>5870</v>
      </c>
      <c r="I30">
        <v>545.02739726027403</v>
      </c>
      <c r="J30">
        <v>326</v>
      </c>
      <c r="K30">
        <v>782.52102203986942</v>
      </c>
    </row>
    <row r="31" spans="1:11" x14ac:dyDescent="0.35">
      <c r="A31" t="s">
        <v>18</v>
      </c>
      <c r="B31">
        <v>3</v>
      </c>
      <c r="C31">
        <v>1.4039999999999999</v>
      </c>
      <c r="D31">
        <v>73</v>
      </c>
      <c r="E31">
        <v>72</v>
      </c>
      <c r="F31">
        <v>181</v>
      </c>
      <c r="G31">
        <v>181</v>
      </c>
      <c r="H31">
        <v>5499</v>
      </c>
      <c r="I31">
        <v>512.97222222222217</v>
      </c>
      <c r="J31">
        <v>352.5</v>
      </c>
      <c r="K31">
        <v>685.05437684055062</v>
      </c>
    </row>
    <row r="32" spans="1:11" x14ac:dyDescent="0.35">
      <c r="A32" t="s">
        <v>19</v>
      </c>
      <c r="B32">
        <v>1</v>
      </c>
      <c r="C32">
        <v>1.1870000000000001</v>
      </c>
      <c r="D32">
        <v>102</v>
      </c>
      <c r="E32">
        <v>101</v>
      </c>
      <c r="F32">
        <v>194</v>
      </c>
      <c r="G32">
        <v>184</v>
      </c>
      <c r="H32">
        <v>3045</v>
      </c>
      <c r="I32">
        <v>433.67326732673268</v>
      </c>
      <c r="J32">
        <v>327</v>
      </c>
      <c r="K32">
        <v>383.39510186861986</v>
      </c>
    </row>
    <row r="33" spans="1:11" x14ac:dyDescent="0.35">
      <c r="A33" t="s">
        <v>19</v>
      </c>
      <c r="B33">
        <v>2</v>
      </c>
      <c r="C33">
        <v>1.141</v>
      </c>
      <c r="D33">
        <v>106</v>
      </c>
      <c r="E33">
        <v>105</v>
      </c>
      <c r="F33">
        <v>189</v>
      </c>
      <c r="G33">
        <v>183</v>
      </c>
      <c r="H33">
        <v>3315</v>
      </c>
      <c r="I33">
        <v>416.72380952380951</v>
      </c>
      <c r="J33">
        <v>311</v>
      </c>
      <c r="K33">
        <v>400.8348073289543</v>
      </c>
    </row>
    <row r="34" spans="1:11" x14ac:dyDescent="0.35">
      <c r="A34" t="s">
        <v>19</v>
      </c>
      <c r="B34">
        <v>3</v>
      </c>
      <c r="C34">
        <v>1.46</v>
      </c>
      <c r="D34">
        <v>84</v>
      </c>
      <c r="E34">
        <v>83</v>
      </c>
      <c r="F34">
        <v>205</v>
      </c>
      <c r="G34">
        <v>181</v>
      </c>
      <c r="H34">
        <v>5211</v>
      </c>
      <c r="I34">
        <v>533.2168674698795</v>
      </c>
      <c r="J34">
        <v>321</v>
      </c>
      <c r="K34">
        <v>742.16753618282257</v>
      </c>
    </row>
    <row r="35" spans="1:11" x14ac:dyDescent="0.35">
      <c r="A35" t="s">
        <v>20</v>
      </c>
      <c r="B35">
        <v>1</v>
      </c>
      <c r="C35">
        <v>1.0620000000000001</v>
      </c>
      <c r="D35">
        <v>115</v>
      </c>
      <c r="E35">
        <v>114</v>
      </c>
      <c r="F35">
        <v>246</v>
      </c>
      <c r="G35">
        <v>181</v>
      </c>
      <c r="H35">
        <v>2260</v>
      </c>
      <c r="I35">
        <v>387.79824561403507</v>
      </c>
      <c r="J35">
        <v>303</v>
      </c>
      <c r="K35">
        <v>310.34333505161214</v>
      </c>
    </row>
    <row r="36" spans="1:11" x14ac:dyDescent="0.35">
      <c r="A36" t="s">
        <v>20</v>
      </c>
      <c r="B36">
        <v>2</v>
      </c>
      <c r="C36">
        <v>1.4059999999999999</v>
      </c>
      <c r="D36">
        <v>74</v>
      </c>
      <c r="E36">
        <v>73</v>
      </c>
      <c r="F36">
        <v>227</v>
      </c>
      <c r="G36">
        <v>181</v>
      </c>
      <c r="H36">
        <v>4817</v>
      </c>
      <c r="I36">
        <v>513.65753424657532</v>
      </c>
      <c r="J36">
        <v>333</v>
      </c>
      <c r="K36">
        <v>738.51597248896212</v>
      </c>
    </row>
    <row r="37" spans="1:11" x14ac:dyDescent="0.35">
      <c r="A37" t="s">
        <v>20</v>
      </c>
      <c r="B37">
        <v>3</v>
      </c>
      <c r="C37">
        <v>1.879</v>
      </c>
      <c r="D37">
        <v>62</v>
      </c>
      <c r="E37">
        <v>61</v>
      </c>
      <c r="F37">
        <v>190</v>
      </c>
      <c r="G37">
        <v>182</v>
      </c>
      <c r="H37">
        <v>4420</v>
      </c>
      <c r="I37">
        <v>686.26229508196718</v>
      </c>
      <c r="J37">
        <v>345</v>
      </c>
      <c r="K37">
        <v>911.94382379545016</v>
      </c>
    </row>
    <row r="38" spans="1:11" x14ac:dyDescent="0.35">
      <c r="A38" t="s">
        <v>21</v>
      </c>
      <c r="B38">
        <v>1</v>
      </c>
      <c r="C38">
        <v>1.22</v>
      </c>
      <c r="D38">
        <v>103</v>
      </c>
      <c r="E38">
        <v>102</v>
      </c>
      <c r="F38">
        <v>204</v>
      </c>
      <c r="G38">
        <v>182</v>
      </c>
      <c r="H38">
        <v>3866</v>
      </c>
      <c r="I38">
        <v>445.68627450980392</v>
      </c>
      <c r="J38">
        <v>328</v>
      </c>
      <c r="K38">
        <v>452.64633600404352</v>
      </c>
    </row>
    <row r="39" spans="1:11" x14ac:dyDescent="0.35">
      <c r="A39" t="s">
        <v>21</v>
      </c>
      <c r="B39">
        <v>2</v>
      </c>
    </row>
    <row r="40" spans="1:11" x14ac:dyDescent="0.35">
      <c r="A40" t="s">
        <v>21</v>
      </c>
      <c r="B40">
        <v>3</v>
      </c>
    </row>
    <row r="41" spans="1:11" x14ac:dyDescent="0.35">
      <c r="A41" t="s">
        <v>22</v>
      </c>
      <c r="B41">
        <v>1</v>
      </c>
      <c r="C41">
        <v>1.3919999999999999</v>
      </c>
      <c r="D41">
        <v>91</v>
      </c>
      <c r="E41">
        <v>90</v>
      </c>
      <c r="F41">
        <v>203</v>
      </c>
      <c r="G41">
        <v>184</v>
      </c>
      <c r="H41">
        <v>4450</v>
      </c>
      <c r="I41">
        <v>508.56666666666666</v>
      </c>
      <c r="J41">
        <v>327</v>
      </c>
      <c r="K41">
        <v>567.78045541877862</v>
      </c>
    </row>
    <row r="42" spans="1:11" x14ac:dyDescent="0.35">
      <c r="A42" t="s">
        <v>23</v>
      </c>
      <c r="B42">
        <v>1</v>
      </c>
      <c r="C42">
        <v>1.292</v>
      </c>
      <c r="D42">
        <v>98</v>
      </c>
      <c r="E42">
        <v>97</v>
      </c>
      <c r="F42">
        <v>183</v>
      </c>
      <c r="G42">
        <v>183</v>
      </c>
      <c r="H42">
        <v>3304</v>
      </c>
      <c r="I42">
        <v>471.94845360824741</v>
      </c>
      <c r="J42">
        <v>346</v>
      </c>
      <c r="K42">
        <v>446.24865638156376</v>
      </c>
    </row>
    <row r="43" spans="1:11" x14ac:dyDescent="0.35">
      <c r="A43" t="s">
        <v>23</v>
      </c>
      <c r="B43">
        <v>2</v>
      </c>
    </row>
    <row r="44" spans="1:11" x14ac:dyDescent="0.35">
      <c r="A44" t="s">
        <v>24</v>
      </c>
      <c r="B44">
        <v>1</v>
      </c>
      <c r="C44">
        <v>1.337</v>
      </c>
      <c r="D44">
        <v>85</v>
      </c>
      <c r="E44">
        <v>84</v>
      </c>
      <c r="F44">
        <v>286</v>
      </c>
      <c r="G44">
        <v>184</v>
      </c>
      <c r="H44">
        <v>8071</v>
      </c>
      <c r="I44">
        <v>488.40476190476193</v>
      </c>
      <c r="J44">
        <v>303</v>
      </c>
      <c r="K44">
        <v>892.22193372778247</v>
      </c>
    </row>
    <row r="45" spans="1:11" x14ac:dyDescent="0.35">
      <c r="A45" t="s">
        <v>24</v>
      </c>
      <c r="B45">
        <v>2</v>
      </c>
      <c r="C45">
        <v>3.9620000000000002</v>
      </c>
      <c r="D45">
        <v>13</v>
      </c>
      <c r="E45">
        <v>12</v>
      </c>
      <c r="F45">
        <v>239</v>
      </c>
      <c r="G45">
        <v>239</v>
      </c>
      <c r="H45">
        <v>5696</v>
      </c>
      <c r="I45">
        <v>1447</v>
      </c>
      <c r="J45">
        <v>547</v>
      </c>
      <c r="K45">
        <v>1744.351025453306</v>
      </c>
    </row>
    <row r="46" spans="1:11" x14ac:dyDescent="0.35">
      <c r="A46" t="s">
        <v>25</v>
      </c>
      <c r="B46">
        <v>1</v>
      </c>
      <c r="C46">
        <v>0.94699999999999995</v>
      </c>
      <c r="D46">
        <v>130</v>
      </c>
      <c r="E46">
        <v>129</v>
      </c>
      <c r="F46">
        <v>309</v>
      </c>
      <c r="G46">
        <v>187</v>
      </c>
      <c r="H46">
        <v>1112</v>
      </c>
      <c r="I46">
        <v>345.94573643410854</v>
      </c>
      <c r="J46">
        <v>309</v>
      </c>
      <c r="K46">
        <v>152.29516985410856</v>
      </c>
    </row>
    <row r="47" spans="1:11" x14ac:dyDescent="0.35">
      <c r="A47" t="s">
        <v>25</v>
      </c>
      <c r="B47">
        <v>2</v>
      </c>
      <c r="C47">
        <v>1.161</v>
      </c>
      <c r="D47">
        <v>80</v>
      </c>
      <c r="E47">
        <v>79</v>
      </c>
      <c r="F47">
        <v>195</v>
      </c>
      <c r="G47">
        <v>183</v>
      </c>
      <c r="H47">
        <v>2761</v>
      </c>
      <c r="I47">
        <v>423.88607594936707</v>
      </c>
      <c r="J47">
        <v>301</v>
      </c>
      <c r="K47">
        <v>425.3305784273702</v>
      </c>
    </row>
    <row r="48" spans="1:11" x14ac:dyDescent="0.35">
      <c r="A48" t="s">
        <v>25</v>
      </c>
      <c r="B48">
        <v>3</v>
      </c>
      <c r="C48">
        <v>1.4870000000000001</v>
      </c>
      <c r="D48">
        <v>68</v>
      </c>
      <c r="E48">
        <v>67</v>
      </c>
      <c r="F48">
        <v>242</v>
      </c>
      <c r="G48">
        <v>183</v>
      </c>
      <c r="H48">
        <v>13608</v>
      </c>
      <c r="I48">
        <v>543.20895522388059</v>
      </c>
      <c r="J48">
        <v>292</v>
      </c>
      <c r="K48">
        <v>1629.695315698415</v>
      </c>
    </row>
    <row r="49" spans="1:11" x14ac:dyDescent="0.35">
      <c r="A49" t="s">
        <v>26</v>
      </c>
      <c r="B49">
        <v>1</v>
      </c>
      <c r="C49">
        <v>1.375</v>
      </c>
      <c r="D49">
        <v>78</v>
      </c>
      <c r="E49">
        <v>77</v>
      </c>
      <c r="F49">
        <v>288</v>
      </c>
      <c r="G49">
        <v>181</v>
      </c>
      <c r="H49">
        <v>7639</v>
      </c>
      <c r="I49">
        <v>502.03896103896102</v>
      </c>
      <c r="J49">
        <v>312</v>
      </c>
      <c r="K49">
        <v>974.24760768474061</v>
      </c>
    </row>
    <row r="50" spans="1:11" x14ac:dyDescent="0.35">
      <c r="A50" t="s">
        <v>26</v>
      </c>
      <c r="B50">
        <v>2</v>
      </c>
      <c r="C50">
        <v>1.4410000000000001</v>
      </c>
      <c r="D50">
        <v>70</v>
      </c>
      <c r="E50">
        <v>69</v>
      </c>
      <c r="F50">
        <v>198</v>
      </c>
      <c r="G50">
        <v>198</v>
      </c>
      <c r="H50">
        <v>14530</v>
      </c>
      <c r="I50">
        <v>526.15942028985512</v>
      </c>
      <c r="J50">
        <v>301</v>
      </c>
      <c r="K50">
        <v>1702.1230274783686</v>
      </c>
    </row>
    <row r="51" spans="1:11" x14ac:dyDescent="0.35">
      <c r="A51" t="s">
        <v>26</v>
      </c>
      <c r="B51">
        <v>3</v>
      </c>
      <c r="C51">
        <v>1.831</v>
      </c>
      <c r="D51">
        <v>63</v>
      </c>
      <c r="E51">
        <v>62</v>
      </c>
      <c r="F51">
        <v>233</v>
      </c>
      <c r="G51">
        <v>182</v>
      </c>
      <c r="H51">
        <v>12472</v>
      </c>
      <c r="I51">
        <v>668.90322580645159</v>
      </c>
      <c r="J51">
        <v>345.5</v>
      </c>
      <c r="K51">
        <v>1613.5054575682409</v>
      </c>
    </row>
    <row r="52" spans="1:11" x14ac:dyDescent="0.35">
      <c r="A52" t="s">
        <v>27</v>
      </c>
      <c r="B52">
        <v>1</v>
      </c>
      <c r="C52">
        <v>1.0649999999999999</v>
      </c>
      <c r="D52">
        <v>113</v>
      </c>
      <c r="E52">
        <v>112</v>
      </c>
      <c r="F52">
        <v>230</v>
      </c>
      <c r="G52">
        <v>184</v>
      </c>
      <c r="H52">
        <v>2126</v>
      </c>
      <c r="I52">
        <v>388.89285714285717</v>
      </c>
      <c r="J52">
        <v>332.5</v>
      </c>
      <c r="K52">
        <v>247.91071107006513</v>
      </c>
    </row>
    <row r="53" spans="1:11" x14ac:dyDescent="0.35">
      <c r="A53" t="s">
        <v>27</v>
      </c>
      <c r="B53">
        <v>2</v>
      </c>
      <c r="C53">
        <v>2.8079999999999998</v>
      </c>
      <c r="D53">
        <v>19</v>
      </c>
      <c r="E53">
        <v>18</v>
      </c>
      <c r="F53">
        <v>213</v>
      </c>
      <c r="G53">
        <v>213</v>
      </c>
      <c r="H53">
        <v>2834</v>
      </c>
      <c r="I53">
        <v>1025.7222222222222</v>
      </c>
      <c r="J53">
        <v>861.5</v>
      </c>
      <c r="K53">
        <v>800.80361065588738</v>
      </c>
    </row>
    <row r="54" spans="1:11" x14ac:dyDescent="0.35">
      <c r="A54" t="s">
        <v>27</v>
      </c>
      <c r="B54">
        <v>3</v>
      </c>
      <c r="C54">
        <v>7.226</v>
      </c>
      <c r="D54">
        <v>14</v>
      </c>
      <c r="E54">
        <v>13</v>
      </c>
      <c r="F54">
        <v>245</v>
      </c>
      <c r="G54">
        <v>245</v>
      </c>
      <c r="H54">
        <v>18438</v>
      </c>
      <c r="I54">
        <v>2639.4615384615386</v>
      </c>
      <c r="J54">
        <v>828</v>
      </c>
      <c r="K54">
        <v>4736.8916392890887</v>
      </c>
    </row>
    <row r="55" spans="1:11" x14ac:dyDescent="0.35">
      <c r="A55" t="s">
        <v>28</v>
      </c>
      <c r="B55">
        <v>1</v>
      </c>
      <c r="C55">
        <v>1.5189999999999999</v>
      </c>
      <c r="D55">
        <v>79</v>
      </c>
      <c r="E55">
        <v>78</v>
      </c>
      <c r="F55">
        <v>334</v>
      </c>
      <c r="G55">
        <v>186</v>
      </c>
      <c r="H55">
        <v>5447</v>
      </c>
      <c r="I55">
        <v>554.97435897435901</v>
      </c>
      <c r="J55">
        <v>338</v>
      </c>
      <c r="K55">
        <v>747.68838590649568</v>
      </c>
    </row>
    <row r="56" spans="1:11" x14ac:dyDescent="0.35">
      <c r="A56" t="s">
        <v>28</v>
      </c>
      <c r="B56">
        <v>2</v>
      </c>
      <c r="C56">
        <v>2.3039999999999998</v>
      </c>
      <c r="D56">
        <v>48</v>
      </c>
      <c r="E56">
        <v>47</v>
      </c>
      <c r="F56">
        <v>476</v>
      </c>
      <c r="G56">
        <v>185</v>
      </c>
      <c r="H56">
        <v>12632</v>
      </c>
      <c r="I56">
        <v>841.68085106382978</v>
      </c>
      <c r="J56">
        <v>363</v>
      </c>
      <c r="K56">
        <v>1813.1983040013349</v>
      </c>
    </row>
    <row r="57" spans="1:11" x14ac:dyDescent="0.35">
      <c r="A57" t="s">
        <v>28</v>
      </c>
      <c r="B57">
        <v>3</v>
      </c>
      <c r="C57">
        <v>3.5139999999999998</v>
      </c>
      <c r="D57">
        <v>15</v>
      </c>
      <c r="E57">
        <v>14</v>
      </c>
      <c r="F57">
        <v>268</v>
      </c>
      <c r="G57">
        <v>268</v>
      </c>
      <c r="H57">
        <v>10228</v>
      </c>
      <c r="I57">
        <v>1283.5714285714287</v>
      </c>
      <c r="J57">
        <v>452.5</v>
      </c>
      <c r="K57">
        <v>2509.5845619284055</v>
      </c>
    </row>
    <row r="58" spans="1:11" x14ac:dyDescent="0.35">
      <c r="A58" t="s">
        <v>29</v>
      </c>
      <c r="B58">
        <v>1</v>
      </c>
      <c r="C58">
        <v>0.88300000000000001</v>
      </c>
      <c r="D58">
        <v>144</v>
      </c>
      <c r="E58">
        <v>143</v>
      </c>
      <c r="F58">
        <v>188</v>
      </c>
      <c r="G58">
        <v>181</v>
      </c>
      <c r="H58">
        <v>689</v>
      </c>
      <c r="I58">
        <v>322.42657342657344</v>
      </c>
      <c r="J58">
        <v>303</v>
      </c>
      <c r="K58">
        <v>102.55822085275452</v>
      </c>
    </row>
    <row r="59" spans="1:11" x14ac:dyDescent="0.35">
      <c r="A59" t="s">
        <v>29</v>
      </c>
      <c r="B59">
        <v>2</v>
      </c>
      <c r="C59">
        <v>2.31</v>
      </c>
      <c r="D59">
        <v>43</v>
      </c>
      <c r="E59">
        <v>42</v>
      </c>
      <c r="F59">
        <v>196</v>
      </c>
      <c r="G59">
        <v>182</v>
      </c>
      <c r="H59">
        <v>10710</v>
      </c>
      <c r="I59">
        <v>843.76190476190482</v>
      </c>
      <c r="J59">
        <v>437.5</v>
      </c>
      <c r="K59">
        <v>1682.422315612986</v>
      </c>
    </row>
    <row r="60" spans="1:11" x14ac:dyDescent="0.35">
      <c r="A60" t="s">
        <v>29</v>
      </c>
      <c r="B60">
        <v>3</v>
      </c>
      <c r="C60">
        <v>1.4</v>
      </c>
      <c r="D60">
        <v>43</v>
      </c>
      <c r="E60">
        <v>42</v>
      </c>
      <c r="F60">
        <v>294</v>
      </c>
      <c r="G60">
        <v>203</v>
      </c>
      <c r="H60">
        <v>2672</v>
      </c>
      <c r="I60">
        <v>511.1904761904762</v>
      </c>
      <c r="J60">
        <v>382</v>
      </c>
      <c r="K60">
        <v>416.03881676131397</v>
      </c>
    </row>
    <row r="61" spans="1:11" x14ac:dyDescent="0.35">
      <c r="A61" t="s">
        <v>30</v>
      </c>
      <c r="B61">
        <v>1</v>
      </c>
      <c r="C61">
        <v>1.2450000000000001</v>
      </c>
      <c r="D61">
        <v>98</v>
      </c>
      <c r="E61">
        <v>97</v>
      </c>
      <c r="F61">
        <v>185</v>
      </c>
      <c r="G61">
        <v>185</v>
      </c>
      <c r="H61">
        <v>5050</v>
      </c>
      <c r="I61">
        <v>454.64948453608247</v>
      </c>
      <c r="J61">
        <v>294</v>
      </c>
      <c r="K61">
        <v>624.4223068926151</v>
      </c>
    </row>
    <row r="62" spans="1:11" x14ac:dyDescent="0.35">
      <c r="A62" t="s">
        <v>30</v>
      </c>
      <c r="B62">
        <v>2</v>
      </c>
    </row>
    <row r="63" spans="1:11" x14ac:dyDescent="0.35">
      <c r="A63" t="s">
        <v>30</v>
      </c>
      <c r="B63">
        <v>3</v>
      </c>
    </row>
    <row r="64" spans="1:11" x14ac:dyDescent="0.35">
      <c r="A64" t="s">
        <v>31</v>
      </c>
      <c r="B64">
        <v>1</v>
      </c>
      <c r="C64">
        <v>1.2969999999999999</v>
      </c>
      <c r="D64">
        <v>79</v>
      </c>
      <c r="E64">
        <v>78</v>
      </c>
      <c r="F64">
        <v>357</v>
      </c>
      <c r="G64">
        <v>183</v>
      </c>
      <c r="H64">
        <v>3741</v>
      </c>
      <c r="I64">
        <v>473.65384615384613</v>
      </c>
      <c r="J64">
        <v>356.5</v>
      </c>
      <c r="K64">
        <v>454.9548815872613</v>
      </c>
    </row>
    <row r="65" spans="1:11" x14ac:dyDescent="0.35">
      <c r="A65" t="s">
        <v>31</v>
      </c>
      <c r="B65">
        <v>2</v>
      </c>
      <c r="C65">
        <v>1.6879999999999999</v>
      </c>
      <c r="D65">
        <v>57</v>
      </c>
      <c r="E65">
        <v>56</v>
      </c>
      <c r="F65">
        <v>182</v>
      </c>
      <c r="G65">
        <v>182</v>
      </c>
      <c r="H65">
        <v>7303</v>
      </c>
      <c r="I65">
        <v>616.625</v>
      </c>
      <c r="J65">
        <v>372</v>
      </c>
      <c r="K65">
        <v>1003.7083128240708</v>
      </c>
    </row>
    <row r="66" spans="1:11" x14ac:dyDescent="0.35">
      <c r="A66" t="s">
        <v>31</v>
      </c>
      <c r="B66">
        <v>3</v>
      </c>
      <c r="C66">
        <v>1.671</v>
      </c>
      <c r="D66">
        <v>56</v>
      </c>
      <c r="E66">
        <v>55</v>
      </c>
      <c r="F66">
        <v>197</v>
      </c>
      <c r="G66">
        <v>185</v>
      </c>
      <c r="H66">
        <v>4391</v>
      </c>
      <c r="I66">
        <v>610.4727272727273</v>
      </c>
      <c r="J66">
        <v>351</v>
      </c>
      <c r="K66">
        <v>765.10631119996435</v>
      </c>
    </row>
    <row r="67" spans="1:11" x14ac:dyDescent="0.35">
      <c r="A67" t="s">
        <v>32</v>
      </c>
      <c r="B67">
        <v>1</v>
      </c>
      <c r="C67">
        <v>0.95499999999999996</v>
      </c>
      <c r="D67">
        <v>122</v>
      </c>
      <c r="E67">
        <v>121</v>
      </c>
      <c r="F67">
        <v>187</v>
      </c>
      <c r="G67">
        <v>182</v>
      </c>
      <c r="H67">
        <v>921</v>
      </c>
      <c r="I67">
        <v>348.95867768595042</v>
      </c>
      <c r="J67">
        <v>325</v>
      </c>
      <c r="K67">
        <v>138.87019902327455</v>
      </c>
    </row>
    <row r="68" spans="1:11" x14ac:dyDescent="0.35">
      <c r="A68" t="s">
        <v>32</v>
      </c>
      <c r="B68">
        <v>2</v>
      </c>
      <c r="C68">
        <v>1.266</v>
      </c>
      <c r="D68">
        <v>86</v>
      </c>
      <c r="E68">
        <v>85</v>
      </c>
      <c r="F68">
        <v>217</v>
      </c>
      <c r="G68">
        <v>181</v>
      </c>
      <c r="H68">
        <v>3550</v>
      </c>
      <c r="I68">
        <v>462.36470588235295</v>
      </c>
      <c r="J68">
        <v>308</v>
      </c>
      <c r="K68">
        <v>473.1836814614216</v>
      </c>
    </row>
    <row r="69" spans="1:11" x14ac:dyDescent="0.35">
      <c r="A69" t="s">
        <v>32</v>
      </c>
      <c r="B69">
        <v>3</v>
      </c>
    </row>
    <row r="70" spans="1:11" x14ac:dyDescent="0.35">
      <c r="A70" t="s">
        <v>34</v>
      </c>
      <c r="B70">
        <v>1</v>
      </c>
      <c r="C70">
        <v>2.3809999999999998</v>
      </c>
      <c r="D70">
        <v>49</v>
      </c>
      <c r="E70">
        <v>48</v>
      </c>
      <c r="F70">
        <v>216</v>
      </c>
      <c r="G70">
        <v>184</v>
      </c>
      <c r="H70">
        <v>6049</v>
      </c>
      <c r="I70">
        <v>869.72916666666663</v>
      </c>
      <c r="J70">
        <v>373</v>
      </c>
      <c r="K70">
        <v>1249.8829068420657</v>
      </c>
    </row>
    <row r="71" spans="1:11" x14ac:dyDescent="0.35">
      <c r="A71" t="s">
        <v>34</v>
      </c>
      <c r="B71">
        <v>2</v>
      </c>
      <c r="C71">
        <v>4.0919999999999996</v>
      </c>
      <c r="D71">
        <v>26</v>
      </c>
      <c r="E71">
        <v>25</v>
      </c>
      <c r="F71">
        <v>186</v>
      </c>
      <c r="G71">
        <v>186</v>
      </c>
      <c r="H71">
        <v>8505</v>
      </c>
      <c r="I71">
        <v>1494.76</v>
      </c>
      <c r="J71">
        <v>550</v>
      </c>
      <c r="K71">
        <v>2098.7058923060181</v>
      </c>
    </row>
    <row r="72" spans="1:11" x14ac:dyDescent="0.35">
      <c r="A72" t="s">
        <v>34</v>
      </c>
      <c r="B72">
        <v>3</v>
      </c>
      <c r="C72">
        <v>4.867</v>
      </c>
      <c r="D72">
        <v>22</v>
      </c>
      <c r="E72">
        <v>21</v>
      </c>
      <c r="F72">
        <v>227</v>
      </c>
      <c r="G72">
        <v>227</v>
      </c>
      <c r="H72">
        <v>14416</v>
      </c>
      <c r="I72">
        <v>1777.8095238095239</v>
      </c>
      <c r="J72">
        <v>878</v>
      </c>
      <c r="K72">
        <v>2949.1263051484966</v>
      </c>
    </row>
    <row r="73" spans="1:11" x14ac:dyDescent="0.35">
      <c r="A73" t="s">
        <v>35</v>
      </c>
      <c r="B73">
        <v>1</v>
      </c>
      <c r="C73">
        <v>1.0529999999999999</v>
      </c>
      <c r="D73">
        <v>57</v>
      </c>
      <c r="E73">
        <v>56</v>
      </c>
      <c r="F73">
        <v>183</v>
      </c>
      <c r="G73">
        <v>182</v>
      </c>
      <c r="H73">
        <v>2276</v>
      </c>
      <c r="I73">
        <v>384.625</v>
      </c>
      <c r="J73">
        <v>312</v>
      </c>
      <c r="K73">
        <v>318.53602411770368</v>
      </c>
    </row>
    <row r="74" spans="1:11" x14ac:dyDescent="0.35">
      <c r="A74" t="s">
        <v>35</v>
      </c>
      <c r="B74">
        <v>2</v>
      </c>
      <c r="C74">
        <v>2.665</v>
      </c>
      <c r="D74">
        <v>39</v>
      </c>
      <c r="E74">
        <v>38</v>
      </c>
      <c r="F74">
        <v>189</v>
      </c>
      <c r="G74">
        <v>189</v>
      </c>
      <c r="H74">
        <v>17293</v>
      </c>
      <c r="I74">
        <v>973.4473684210526</v>
      </c>
      <c r="J74">
        <v>398</v>
      </c>
      <c r="K74">
        <v>2710.6265414530853</v>
      </c>
    </row>
    <row r="75" spans="1:11" x14ac:dyDescent="0.35">
      <c r="A75" t="s">
        <v>35</v>
      </c>
      <c r="B75">
        <v>3</v>
      </c>
    </row>
    <row r="76" spans="1:11" x14ac:dyDescent="0.35">
      <c r="A76" t="s">
        <v>36</v>
      </c>
      <c r="B76">
        <v>1</v>
      </c>
      <c r="C76">
        <v>0.97799999999999998</v>
      </c>
      <c r="D76">
        <v>53</v>
      </c>
      <c r="E76">
        <v>52</v>
      </c>
      <c r="F76">
        <v>229</v>
      </c>
      <c r="G76">
        <v>182</v>
      </c>
      <c r="H76">
        <v>1438</v>
      </c>
      <c r="I76">
        <v>357.38461538461536</v>
      </c>
      <c r="J76">
        <v>322</v>
      </c>
      <c r="K76">
        <v>192.85368645348274</v>
      </c>
    </row>
    <row r="77" spans="1:11" x14ac:dyDescent="0.35">
      <c r="A77" t="s">
        <v>36</v>
      </c>
      <c r="B77">
        <v>2</v>
      </c>
      <c r="C77">
        <v>1.0069999999999999</v>
      </c>
      <c r="D77">
        <v>53</v>
      </c>
      <c r="E77">
        <v>52</v>
      </c>
      <c r="F77">
        <v>217</v>
      </c>
      <c r="G77">
        <v>183</v>
      </c>
      <c r="H77">
        <v>1285</v>
      </c>
      <c r="I77">
        <v>367.76923076923077</v>
      </c>
      <c r="J77">
        <v>298.5</v>
      </c>
      <c r="K77">
        <v>202.10285037618226</v>
      </c>
    </row>
    <row r="78" spans="1:11" x14ac:dyDescent="0.35">
      <c r="A78" t="s">
        <v>36</v>
      </c>
      <c r="B78">
        <v>3</v>
      </c>
      <c r="C78">
        <v>1.3460000000000001</v>
      </c>
      <c r="D78">
        <v>39</v>
      </c>
      <c r="E78">
        <v>38</v>
      </c>
      <c r="F78">
        <v>360</v>
      </c>
      <c r="G78">
        <v>181</v>
      </c>
      <c r="H78">
        <v>2294</v>
      </c>
      <c r="I78">
        <v>491.57894736842104</v>
      </c>
      <c r="J78">
        <v>363</v>
      </c>
      <c r="K78">
        <v>385.79471167550582</v>
      </c>
    </row>
    <row r="79" spans="1:11" x14ac:dyDescent="0.35">
      <c r="A79" t="s">
        <v>37</v>
      </c>
      <c r="B79">
        <v>1</v>
      </c>
      <c r="C79">
        <v>1.8180000000000001</v>
      </c>
      <c r="D79">
        <v>58</v>
      </c>
      <c r="E79">
        <v>57</v>
      </c>
      <c r="F79">
        <v>186</v>
      </c>
      <c r="G79">
        <v>186</v>
      </c>
      <c r="H79">
        <v>10513</v>
      </c>
      <c r="I79">
        <v>663.9473684210526</v>
      </c>
      <c r="J79">
        <v>355</v>
      </c>
      <c r="K79">
        <v>1406.1990503338213</v>
      </c>
    </row>
    <row r="80" spans="1:11" x14ac:dyDescent="0.35">
      <c r="A80" t="s">
        <v>37</v>
      </c>
      <c r="B80">
        <v>2</v>
      </c>
      <c r="C80">
        <v>4.2779999999999996</v>
      </c>
      <c r="D80">
        <v>13</v>
      </c>
      <c r="E80">
        <v>12</v>
      </c>
      <c r="F80">
        <v>293</v>
      </c>
      <c r="G80">
        <v>293</v>
      </c>
      <c r="H80">
        <v>4474</v>
      </c>
      <c r="I80">
        <v>1562.5833333333333</v>
      </c>
      <c r="J80">
        <v>1400</v>
      </c>
      <c r="K80">
        <v>1247.7636300152722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F453-2FD6-4821-8BDA-9C6FCF561906}">
  <dimension ref="A1:K80"/>
  <sheetViews>
    <sheetView topLeftCell="A67" workbookViewId="0">
      <selection activeCell="F64" sqref="F64"/>
    </sheetView>
  </sheetViews>
  <sheetFormatPr defaultRowHeight="14.5" x14ac:dyDescent="0.35"/>
  <cols>
    <col min="1" max="1" width="16.6328125" bestFit="1" customWidth="1"/>
    <col min="2" max="2" width="11.26953125" bestFit="1" customWidth="1"/>
    <col min="3" max="3" width="10.54296875" bestFit="1" customWidth="1"/>
    <col min="4" max="4" width="18.7265625" bestFit="1" customWidth="1"/>
    <col min="5" max="5" width="11.90625" bestFit="1" customWidth="1"/>
    <col min="6" max="6" width="13.36328125" bestFit="1" customWidth="1"/>
    <col min="7" max="7" width="10.26953125" bestFit="1" customWidth="1"/>
    <col min="8" max="8" width="10.6328125" bestFit="1" customWidth="1"/>
    <col min="9" max="9" width="11.81640625" bestFit="1" customWidth="1"/>
    <col min="10" max="10" width="13.36328125" bestFit="1" customWidth="1"/>
    <col min="11" max="11" width="11.81640625" bestFit="1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38</v>
      </c>
      <c r="F1" t="s">
        <v>4</v>
      </c>
      <c r="G1" t="s">
        <v>39</v>
      </c>
      <c r="H1" t="s">
        <v>40</v>
      </c>
      <c r="I1" t="s">
        <v>5</v>
      </c>
      <c r="J1" t="s">
        <v>6</v>
      </c>
      <c r="K1" t="s">
        <v>41</v>
      </c>
    </row>
    <row r="2" spans="1:11" x14ac:dyDescent="0.35">
      <c r="A2" t="s">
        <v>9</v>
      </c>
      <c r="B2">
        <v>1</v>
      </c>
      <c r="C2">
        <v>0.88200000000000001</v>
      </c>
      <c r="D2">
        <v>144</v>
      </c>
      <c r="E2">
        <v>143</v>
      </c>
      <c r="F2">
        <v>194</v>
      </c>
      <c r="G2">
        <v>185</v>
      </c>
      <c r="H2">
        <v>1218</v>
      </c>
      <c r="I2">
        <v>322.23776223776224</v>
      </c>
      <c r="J2">
        <v>296</v>
      </c>
      <c r="K2">
        <v>124.32463471810253</v>
      </c>
    </row>
    <row r="3" spans="1:11" x14ac:dyDescent="0.35">
      <c r="A3" t="s">
        <v>9</v>
      </c>
      <c r="B3">
        <v>2</v>
      </c>
      <c r="C3">
        <v>0.96899999999999997</v>
      </c>
      <c r="D3">
        <v>130</v>
      </c>
      <c r="E3">
        <v>129</v>
      </c>
      <c r="F3">
        <v>198</v>
      </c>
      <c r="G3">
        <v>184</v>
      </c>
      <c r="H3">
        <v>1157</v>
      </c>
      <c r="I3">
        <v>353.99224806201551</v>
      </c>
      <c r="J3">
        <v>302</v>
      </c>
      <c r="K3">
        <v>172.08274988540981</v>
      </c>
    </row>
    <row r="4" spans="1:11" x14ac:dyDescent="0.35">
      <c r="A4" t="s">
        <v>9</v>
      </c>
      <c r="B4">
        <v>3</v>
      </c>
      <c r="C4">
        <v>6.3360000000000003</v>
      </c>
      <c r="D4">
        <v>16</v>
      </c>
      <c r="E4">
        <v>15</v>
      </c>
      <c r="F4">
        <v>190</v>
      </c>
      <c r="G4">
        <v>190</v>
      </c>
      <c r="H4">
        <v>12287</v>
      </c>
      <c r="I4">
        <v>2314.4</v>
      </c>
      <c r="J4">
        <v>1796</v>
      </c>
      <c r="K4">
        <v>2924.3878858090397</v>
      </c>
    </row>
    <row r="5" spans="1:11" x14ac:dyDescent="0.35">
      <c r="A5" t="s">
        <v>10</v>
      </c>
      <c r="B5">
        <v>1</v>
      </c>
      <c r="C5">
        <v>0.90400000000000003</v>
      </c>
      <c r="D5">
        <v>141</v>
      </c>
      <c r="E5">
        <v>140</v>
      </c>
      <c r="F5">
        <v>216</v>
      </c>
      <c r="G5">
        <v>182</v>
      </c>
      <c r="H5">
        <v>1579</v>
      </c>
      <c r="I5">
        <v>330.02857142857141</v>
      </c>
      <c r="J5">
        <v>286</v>
      </c>
      <c r="K5">
        <v>156.58292840979743</v>
      </c>
    </row>
    <row r="6" spans="1:11" x14ac:dyDescent="0.35">
      <c r="A6" t="s">
        <v>10</v>
      </c>
      <c r="B6">
        <v>2</v>
      </c>
      <c r="C6">
        <v>1.5680000000000001</v>
      </c>
      <c r="D6">
        <v>47</v>
      </c>
      <c r="E6">
        <v>46</v>
      </c>
      <c r="F6">
        <v>207</v>
      </c>
      <c r="G6">
        <v>182</v>
      </c>
      <c r="H6">
        <v>3496</v>
      </c>
      <c r="I6">
        <v>572.73913043478262</v>
      </c>
      <c r="J6">
        <v>453</v>
      </c>
      <c r="K6">
        <v>525.8701044266337</v>
      </c>
    </row>
    <row r="7" spans="1:11" x14ac:dyDescent="0.35">
      <c r="A7" t="s">
        <v>10</v>
      </c>
      <c r="B7">
        <v>3</v>
      </c>
      <c r="C7">
        <v>3.2709999999999999</v>
      </c>
      <c r="D7">
        <v>33</v>
      </c>
      <c r="E7">
        <v>32</v>
      </c>
      <c r="F7">
        <v>420</v>
      </c>
      <c r="G7">
        <v>196</v>
      </c>
      <c r="H7">
        <v>15863</v>
      </c>
      <c r="I7">
        <v>1194.6875</v>
      </c>
      <c r="J7">
        <v>542</v>
      </c>
      <c r="K7">
        <v>2706.9537241784815</v>
      </c>
    </row>
    <row r="8" spans="1:11" x14ac:dyDescent="0.35">
      <c r="A8" t="s">
        <v>11</v>
      </c>
      <c r="B8">
        <v>1</v>
      </c>
      <c r="C8">
        <v>0.86399999999999999</v>
      </c>
      <c r="D8">
        <v>145</v>
      </c>
      <c r="E8">
        <v>144</v>
      </c>
      <c r="F8">
        <v>183</v>
      </c>
      <c r="G8">
        <v>181</v>
      </c>
      <c r="H8">
        <v>1016</v>
      </c>
      <c r="I8">
        <v>315.73611111111109</v>
      </c>
      <c r="J8">
        <v>272.5</v>
      </c>
      <c r="K8">
        <v>136.21199705030426</v>
      </c>
    </row>
    <row r="9" spans="1:11" x14ac:dyDescent="0.35">
      <c r="A9" t="s">
        <v>11</v>
      </c>
      <c r="B9">
        <v>2</v>
      </c>
      <c r="C9">
        <v>3.976</v>
      </c>
      <c r="D9">
        <v>6</v>
      </c>
      <c r="E9">
        <v>5</v>
      </c>
      <c r="F9">
        <v>512</v>
      </c>
      <c r="G9">
        <v>512</v>
      </c>
      <c r="H9">
        <v>2742</v>
      </c>
      <c r="I9">
        <v>1452.4</v>
      </c>
      <c r="J9">
        <v>911</v>
      </c>
      <c r="K9">
        <v>922.87260225883824</v>
      </c>
    </row>
    <row r="10" spans="1:11" x14ac:dyDescent="0.35">
      <c r="A10" t="s">
        <v>11</v>
      </c>
      <c r="B10">
        <v>3</v>
      </c>
    </row>
    <row r="11" spans="1:11" x14ac:dyDescent="0.35">
      <c r="A11" t="s">
        <v>12</v>
      </c>
      <c r="B11">
        <v>1</v>
      </c>
      <c r="C11">
        <v>0.95499999999999996</v>
      </c>
      <c r="D11">
        <v>130</v>
      </c>
      <c r="E11">
        <v>129</v>
      </c>
      <c r="F11">
        <v>222</v>
      </c>
      <c r="G11">
        <v>182</v>
      </c>
      <c r="H11">
        <v>1204</v>
      </c>
      <c r="I11">
        <v>348.87596899224809</v>
      </c>
      <c r="J11">
        <v>316</v>
      </c>
      <c r="K11">
        <v>157.50171687273604</v>
      </c>
    </row>
    <row r="12" spans="1:11" x14ac:dyDescent="0.35">
      <c r="A12" t="s">
        <v>12</v>
      </c>
      <c r="B12">
        <v>2</v>
      </c>
    </row>
    <row r="13" spans="1:11" x14ac:dyDescent="0.35">
      <c r="A13" t="s">
        <v>12</v>
      </c>
      <c r="B13">
        <v>3</v>
      </c>
    </row>
    <row r="14" spans="1:11" x14ac:dyDescent="0.35">
      <c r="A14" t="s">
        <v>13</v>
      </c>
      <c r="B14">
        <v>1</v>
      </c>
      <c r="C14">
        <v>0.89600000000000002</v>
      </c>
      <c r="D14">
        <v>141</v>
      </c>
      <c r="E14">
        <v>140</v>
      </c>
      <c r="F14">
        <v>181</v>
      </c>
      <c r="G14">
        <v>181</v>
      </c>
      <c r="H14">
        <v>759</v>
      </c>
      <c r="I14">
        <v>327.15714285714284</v>
      </c>
      <c r="J14">
        <v>307.5</v>
      </c>
      <c r="K14">
        <v>115.09314683759234</v>
      </c>
    </row>
    <row r="15" spans="1:11" x14ac:dyDescent="0.35">
      <c r="A15" t="s">
        <v>13</v>
      </c>
      <c r="B15">
        <v>2</v>
      </c>
      <c r="C15">
        <v>1.01</v>
      </c>
      <c r="D15">
        <v>125</v>
      </c>
      <c r="E15">
        <v>124</v>
      </c>
      <c r="F15">
        <v>183</v>
      </c>
      <c r="G15">
        <v>182</v>
      </c>
      <c r="H15">
        <v>1405</v>
      </c>
      <c r="I15">
        <v>368.93548387096774</v>
      </c>
      <c r="J15">
        <v>309</v>
      </c>
      <c r="K15">
        <v>208.11681513249931</v>
      </c>
    </row>
    <row r="16" spans="1:11" x14ac:dyDescent="0.35">
      <c r="A16" t="s">
        <v>13</v>
      </c>
      <c r="B16">
        <v>3</v>
      </c>
      <c r="C16">
        <v>1.681</v>
      </c>
      <c r="D16">
        <v>74</v>
      </c>
      <c r="E16">
        <v>73</v>
      </c>
      <c r="F16">
        <v>234</v>
      </c>
      <c r="G16">
        <v>199</v>
      </c>
      <c r="H16">
        <v>1919</v>
      </c>
      <c r="I16">
        <v>613.98630136986299</v>
      </c>
      <c r="J16">
        <v>519</v>
      </c>
      <c r="K16">
        <v>370.45723296513341</v>
      </c>
    </row>
    <row r="17" spans="1:11" x14ac:dyDescent="0.35">
      <c r="A17" t="s">
        <v>14</v>
      </c>
      <c r="B17">
        <v>1</v>
      </c>
      <c r="C17">
        <v>1</v>
      </c>
      <c r="D17">
        <v>127</v>
      </c>
      <c r="E17">
        <v>126</v>
      </c>
      <c r="F17">
        <v>187</v>
      </c>
      <c r="G17">
        <v>185</v>
      </c>
      <c r="H17">
        <v>1181</v>
      </c>
      <c r="I17">
        <v>365.10317460317458</v>
      </c>
      <c r="J17">
        <v>334.5</v>
      </c>
      <c r="K17">
        <v>168.73186342820267</v>
      </c>
    </row>
    <row r="18" spans="1:11" x14ac:dyDescent="0.35">
      <c r="A18" t="s">
        <v>14</v>
      </c>
      <c r="B18">
        <v>2</v>
      </c>
      <c r="C18">
        <v>1.123</v>
      </c>
      <c r="D18">
        <v>111</v>
      </c>
      <c r="E18">
        <v>110</v>
      </c>
      <c r="F18">
        <v>194</v>
      </c>
      <c r="G18">
        <v>184</v>
      </c>
      <c r="H18">
        <v>2958</v>
      </c>
      <c r="I18">
        <v>410.23636363636365</v>
      </c>
      <c r="J18">
        <v>316.5</v>
      </c>
      <c r="K18">
        <v>333.27913300395477</v>
      </c>
    </row>
    <row r="19" spans="1:11" x14ac:dyDescent="0.35">
      <c r="A19" t="s">
        <v>14</v>
      </c>
      <c r="B19">
        <v>3</v>
      </c>
      <c r="C19">
        <v>1.9930000000000001</v>
      </c>
      <c r="D19">
        <v>50</v>
      </c>
      <c r="E19">
        <v>49</v>
      </c>
      <c r="F19">
        <v>223</v>
      </c>
      <c r="G19">
        <v>188</v>
      </c>
      <c r="H19">
        <v>6001</v>
      </c>
      <c r="I19">
        <v>728</v>
      </c>
      <c r="J19">
        <v>417</v>
      </c>
      <c r="K19">
        <v>935.50824340001827</v>
      </c>
    </row>
    <row r="20" spans="1:11" x14ac:dyDescent="0.35">
      <c r="A20" t="s">
        <v>15</v>
      </c>
      <c r="B20">
        <v>1</v>
      </c>
      <c r="C20">
        <v>1.2509999999999999</v>
      </c>
      <c r="D20">
        <v>92</v>
      </c>
      <c r="E20">
        <v>91</v>
      </c>
      <c r="F20">
        <v>306</v>
      </c>
      <c r="G20">
        <v>193</v>
      </c>
      <c r="H20">
        <v>1941</v>
      </c>
      <c r="I20">
        <v>457</v>
      </c>
      <c r="J20">
        <v>355</v>
      </c>
      <c r="K20">
        <v>290.40960084634992</v>
      </c>
    </row>
    <row r="21" spans="1:11" x14ac:dyDescent="0.35">
      <c r="A21" t="s">
        <v>15</v>
      </c>
      <c r="B21">
        <v>2</v>
      </c>
      <c r="C21">
        <v>4.5620000000000003</v>
      </c>
      <c r="D21">
        <v>18</v>
      </c>
      <c r="E21">
        <v>17</v>
      </c>
      <c r="F21">
        <v>239</v>
      </c>
      <c r="G21">
        <v>239</v>
      </c>
      <c r="H21">
        <v>6387</v>
      </c>
      <c r="I21">
        <v>1666.1176470588234</v>
      </c>
      <c r="J21">
        <v>1064</v>
      </c>
      <c r="K21">
        <v>1667.038934664869</v>
      </c>
    </row>
    <row r="22" spans="1:11" x14ac:dyDescent="0.35">
      <c r="A22" t="s">
        <v>15</v>
      </c>
      <c r="B22">
        <v>3</v>
      </c>
      <c r="C22">
        <v>1.488</v>
      </c>
      <c r="D22">
        <v>4</v>
      </c>
      <c r="E22">
        <v>3</v>
      </c>
      <c r="F22">
        <v>272</v>
      </c>
      <c r="G22">
        <v>272</v>
      </c>
      <c r="H22">
        <v>823</v>
      </c>
      <c r="I22">
        <v>543.33333333333337</v>
      </c>
      <c r="J22">
        <v>535</v>
      </c>
      <c r="K22">
        <v>225.02197423560412</v>
      </c>
    </row>
    <row r="23" spans="1:11" x14ac:dyDescent="0.35">
      <c r="A23" t="s">
        <v>16</v>
      </c>
      <c r="B23">
        <v>1</v>
      </c>
      <c r="C23">
        <v>1.254</v>
      </c>
      <c r="D23">
        <v>100</v>
      </c>
      <c r="E23">
        <v>99</v>
      </c>
      <c r="F23">
        <v>184</v>
      </c>
      <c r="G23">
        <v>184</v>
      </c>
      <c r="H23">
        <v>3777</v>
      </c>
      <c r="I23">
        <v>458.13131313131311</v>
      </c>
      <c r="J23">
        <v>325</v>
      </c>
      <c r="K23">
        <v>468.45763790810076</v>
      </c>
    </row>
    <row r="24" spans="1:11" x14ac:dyDescent="0.35">
      <c r="A24" t="s">
        <v>16</v>
      </c>
      <c r="B24">
        <v>2</v>
      </c>
      <c r="C24">
        <v>16.251999999999999</v>
      </c>
      <c r="D24">
        <v>8</v>
      </c>
      <c r="E24">
        <v>7</v>
      </c>
      <c r="F24">
        <v>304</v>
      </c>
      <c r="G24">
        <v>304</v>
      </c>
      <c r="H24">
        <v>23247</v>
      </c>
      <c r="I24">
        <v>5936</v>
      </c>
      <c r="J24">
        <v>3837</v>
      </c>
      <c r="K24">
        <v>7380.3044652642884</v>
      </c>
    </row>
    <row r="25" spans="1:11" x14ac:dyDescent="0.35">
      <c r="A25" t="s">
        <v>16</v>
      </c>
      <c r="B25">
        <v>3</v>
      </c>
    </row>
    <row r="26" spans="1:11" x14ac:dyDescent="0.35">
      <c r="A26" t="s">
        <v>17</v>
      </c>
      <c r="B26">
        <v>1</v>
      </c>
      <c r="C26">
        <v>0.84</v>
      </c>
      <c r="D26">
        <v>150</v>
      </c>
      <c r="E26">
        <v>149</v>
      </c>
      <c r="F26">
        <v>187</v>
      </c>
      <c r="G26">
        <v>181</v>
      </c>
      <c r="H26">
        <v>1177</v>
      </c>
      <c r="I26">
        <v>306.91946308724835</v>
      </c>
      <c r="J26">
        <v>277</v>
      </c>
      <c r="K26">
        <v>124.62666486086594</v>
      </c>
    </row>
    <row r="27" spans="1:11" x14ac:dyDescent="0.35">
      <c r="A27" t="s">
        <v>17</v>
      </c>
      <c r="B27">
        <v>2</v>
      </c>
      <c r="C27">
        <v>1.9379999999999999</v>
      </c>
      <c r="D27">
        <v>66</v>
      </c>
      <c r="E27">
        <v>65</v>
      </c>
      <c r="F27">
        <v>187</v>
      </c>
      <c r="G27">
        <v>187</v>
      </c>
      <c r="H27">
        <v>14055</v>
      </c>
      <c r="I27">
        <v>707.72307692307697</v>
      </c>
      <c r="J27">
        <v>293</v>
      </c>
      <c r="K27">
        <v>1843.4237920672945</v>
      </c>
    </row>
    <row r="28" spans="1:11" x14ac:dyDescent="0.35">
      <c r="A28" t="s">
        <v>17</v>
      </c>
      <c r="B28">
        <v>3</v>
      </c>
      <c r="C28">
        <v>3.2309999999999999</v>
      </c>
      <c r="D28">
        <v>38</v>
      </c>
      <c r="E28">
        <v>37</v>
      </c>
      <c r="F28">
        <v>192</v>
      </c>
      <c r="G28">
        <v>192</v>
      </c>
      <c r="H28">
        <v>20752</v>
      </c>
      <c r="I28">
        <v>1180.1351351351352</v>
      </c>
      <c r="J28">
        <v>464</v>
      </c>
      <c r="K28">
        <v>3289.0016735729278</v>
      </c>
    </row>
    <row r="29" spans="1:11" x14ac:dyDescent="0.35">
      <c r="A29" t="s">
        <v>18</v>
      </c>
      <c r="B29">
        <v>1</v>
      </c>
      <c r="C29">
        <v>1.2210000000000001</v>
      </c>
      <c r="D29">
        <v>102</v>
      </c>
      <c r="E29">
        <v>101</v>
      </c>
      <c r="F29">
        <v>193</v>
      </c>
      <c r="G29">
        <v>181</v>
      </c>
      <c r="H29">
        <v>4597</v>
      </c>
      <c r="I29">
        <v>445.84158415841586</v>
      </c>
      <c r="J29">
        <v>323</v>
      </c>
      <c r="K29">
        <v>488.01949183344277</v>
      </c>
    </row>
    <row r="30" spans="1:11" x14ac:dyDescent="0.35">
      <c r="A30" t="s">
        <v>18</v>
      </c>
      <c r="B30">
        <v>2</v>
      </c>
      <c r="C30">
        <v>1.6259999999999999</v>
      </c>
      <c r="D30">
        <v>68</v>
      </c>
      <c r="E30">
        <v>67</v>
      </c>
      <c r="F30">
        <v>231</v>
      </c>
      <c r="G30">
        <v>181</v>
      </c>
      <c r="H30">
        <v>5870</v>
      </c>
      <c r="I30">
        <v>593.83582089552237</v>
      </c>
      <c r="J30">
        <v>352</v>
      </c>
      <c r="K30">
        <v>810.67039876467766</v>
      </c>
    </row>
    <row r="31" spans="1:11" x14ac:dyDescent="0.35">
      <c r="A31" t="s">
        <v>18</v>
      </c>
      <c r="B31">
        <v>3</v>
      </c>
      <c r="C31">
        <v>1.6579999999999999</v>
      </c>
      <c r="D31">
        <v>62</v>
      </c>
      <c r="E31">
        <v>61</v>
      </c>
      <c r="F31">
        <v>181</v>
      </c>
      <c r="G31">
        <v>181</v>
      </c>
      <c r="H31">
        <v>5499</v>
      </c>
      <c r="I31">
        <v>605.47540983606552</v>
      </c>
      <c r="J31">
        <v>380</v>
      </c>
      <c r="K31">
        <v>753.36951520784544</v>
      </c>
    </row>
    <row r="32" spans="1:11" x14ac:dyDescent="0.35">
      <c r="A32" t="s">
        <v>19</v>
      </c>
      <c r="B32">
        <v>1</v>
      </c>
      <c r="C32">
        <v>1.1870000000000001</v>
      </c>
      <c r="D32">
        <v>102</v>
      </c>
      <c r="E32">
        <v>101</v>
      </c>
      <c r="F32">
        <v>194</v>
      </c>
      <c r="G32">
        <v>184</v>
      </c>
      <c r="H32">
        <v>3045</v>
      </c>
      <c r="I32">
        <v>433.67326732673268</v>
      </c>
      <c r="J32">
        <v>327</v>
      </c>
      <c r="K32">
        <v>383.39510186861986</v>
      </c>
    </row>
    <row r="33" spans="1:11" x14ac:dyDescent="0.35">
      <c r="A33" t="s">
        <v>19</v>
      </c>
      <c r="B33">
        <v>2</v>
      </c>
      <c r="C33">
        <v>1.167</v>
      </c>
      <c r="D33">
        <v>103</v>
      </c>
      <c r="E33">
        <v>102</v>
      </c>
      <c r="F33">
        <v>189</v>
      </c>
      <c r="G33">
        <v>188</v>
      </c>
      <c r="H33">
        <v>3315</v>
      </c>
      <c r="I33">
        <v>426.26470588235293</v>
      </c>
      <c r="J33">
        <v>318.5</v>
      </c>
      <c r="K33">
        <v>405.92762144545486</v>
      </c>
    </row>
    <row r="34" spans="1:11" x14ac:dyDescent="0.35">
      <c r="A34" t="s">
        <v>19</v>
      </c>
      <c r="B34">
        <v>3</v>
      </c>
      <c r="C34">
        <v>1.5740000000000001</v>
      </c>
      <c r="D34">
        <v>78</v>
      </c>
      <c r="E34">
        <v>77</v>
      </c>
      <c r="F34">
        <v>205</v>
      </c>
      <c r="G34">
        <v>188</v>
      </c>
      <c r="H34">
        <v>5211</v>
      </c>
      <c r="I34">
        <v>574.76623376623377</v>
      </c>
      <c r="J34">
        <v>344</v>
      </c>
      <c r="K34">
        <v>762.82659424394444</v>
      </c>
    </row>
    <row r="35" spans="1:11" x14ac:dyDescent="0.35">
      <c r="A35" t="s">
        <v>20</v>
      </c>
      <c r="B35">
        <v>1</v>
      </c>
      <c r="C35">
        <v>1.0620000000000001</v>
      </c>
      <c r="D35">
        <v>115</v>
      </c>
      <c r="E35">
        <v>114</v>
      </c>
      <c r="F35">
        <v>246</v>
      </c>
      <c r="G35">
        <v>181</v>
      </c>
      <c r="H35">
        <v>2260</v>
      </c>
      <c r="I35">
        <v>387.79824561403507</v>
      </c>
      <c r="J35">
        <v>303</v>
      </c>
      <c r="K35">
        <v>310.34333505161214</v>
      </c>
    </row>
    <row r="36" spans="1:11" x14ac:dyDescent="0.35">
      <c r="A36" t="s">
        <v>20</v>
      </c>
      <c r="B36">
        <v>2</v>
      </c>
      <c r="C36">
        <v>1.8520000000000001</v>
      </c>
      <c r="D36">
        <v>56</v>
      </c>
      <c r="E36">
        <v>55</v>
      </c>
      <c r="F36">
        <v>385</v>
      </c>
      <c r="G36">
        <v>187</v>
      </c>
      <c r="H36">
        <v>4817</v>
      </c>
      <c r="I36">
        <v>676.29090909090905</v>
      </c>
      <c r="J36">
        <v>442</v>
      </c>
      <c r="K36">
        <v>825.71332627618551</v>
      </c>
    </row>
    <row r="37" spans="1:11" x14ac:dyDescent="0.35">
      <c r="A37" t="s">
        <v>20</v>
      </c>
      <c r="B37">
        <v>3</v>
      </c>
      <c r="C37">
        <v>2.8479999999999999</v>
      </c>
      <c r="D37">
        <v>41</v>
      </c>
      <c r="E37">
        <v>40</v>
      </c>
      <c r="F37">
        <v>399</v>
      </c>
      <c r="G37">
        <v>190</v>
      </c>
      <c r="H37">
        <v>4420</v>
      </c>
      <c r="I37">
        <v>1040.3499999999999</v>
      </c>
      <c r="J37">
        <v>618</v>
      </c>
      <c r="K37">
        <v>1050.9097618254386</v>
      </c>
    </row>
    <row r="38" spans="1:11" x14ac:dyDescent="0.35">
      <c r="A38" t="s">
        <v>21</v>
      </c>
      <c r="B38">
        <v>1</v>
      </c>
      <c r="C38">
        <v>1.232</v>
      </c>
      <c r="D38">
        <v>102</v>
      </c>
      <c r="E38">
        <v>101</v>
      </c>
      <c r="F38">
        <v>211</v>
      </c>
      <c r="G38">
        <v>182</v>
      </c>
      <c r="H38">
        <v>3866</v>
      </c>
      <c r="I38">
        <v>450.0990099009901</v>
      </c>
      <c r="J38">
        <v>331</v>
      </c>
      <c r="K38">
        <v>455.08729452994402</v>
      </c>
    </row>
    <row r="39" spans="1:11" x14ac:dyDescent="0.35">
      <c r="A39" t="s">
        <v>21</v>
      </c>
      <c r="B39">
        <v>2</v>
      </c>
    </row>
    <row r="40" spans="1:11" x14ac:dyDescent="0.35">
      <c r="A40" t="s">
        <v>21</v>
      </c>
      <c r="B40">
        <v>3</v>
      </c>
    </row>
    <row r="41" spans="1:11" x14ac:dyDescent="0.35">
      <c r="A41" t="s">
        <v>22</v>
      </c>
      <c r="B41">
        <v>1</v>
      </c>
      <c r="C41">
        <v>1.4079999999999999</v>
      </c>
      <c r="D41">
        <v>90</v>
      </c>
      <c r="E41">
        <v>89</v>
      </c>
      <c r="F41">
        <v>203</v>
      </c>
      <c r="G41">
        <v>184</v>
      </c>
      <c r="H41">
        <v>4450</v>
      </c>
      <c r="I41">
        <v>514.28089887640454</v>
      </c>
      <c r="J41">
        <v>337</v>
      </c>
      <c r="K41">
        <v>569.51992376714213</v>
      </c>
    </row>
    <row r="42" spans="1:11" x14ac:dyDescent="0.35">
      <c r="A42" t="s">
        <v>23</v>
      </c>
      <c r="B42">
        <v>1</v>
      </c>
      <c r="C42">
        <v>1.292</v>
      </c>
      <c r="D42">
        <v>98</v>
      </c>
      <c r="E42">
        <v>97</v>
      </c>
      <c r="F42">
        <v>183</v>
      </c>
      <c r="G42">
        <v>183</v>
      </c>
      <c r="H42">
        <v>3304</v>
      </c>
      <c r="I42">
        <v>471.94845360824741</v>
      </c>
      <c r="J42">
        <v>346</v>
      </c>
      <c r="K42">
        <v>446.24865638156376</v>
      </c>
    </row>
    <row r="43" spans="1:11" x14ac:dyDescent="0.35">
      <c r="A43" t="s">
        <v>23</v>
      </c>
      <c r="B43">
        <v>2</v>
      </c>
    </row>
    <row r="44" spans="1:11" x14ac:dyDescent="0.35">
      <c r="A44" t="s">
        <v>24</v>
      </c>
      <c r="B44">
        <v>1</v>
      </c>
      <c r="C44">
        <v>1.546</v>
      </c>
      <c r="D44">
        <v>73</v>
      </c>
      <c r="E44">
        <v>72</v>
      </c>
      <c r="F44">
        <v>286</v>
      </c>
      <c r="G44">
        <v>184</v>
      </c>
      <c r="H44">
        <v>8071</v>
      </c>
      <c r="I44">
        <v>564.70833333333337</v>
      </c>
      <c r="J44">
        <v>325.5</v>
      </c>
      <c r="K44">
        <v>965.0547543116113</v>
      </c>
    </row>
    <row r="45" spans="1:11" x14ac:dyDescent="0.35">
      <c r="A45" t="s">
        <v>24</v>
      </c>
      <c r="B45">
        <v>2</v>
      </c>
      <c r="C45">
        <v>9.6240000000000006</v>
      </c>
      <c r="D45">
        <v>3</v>
      </c>
      <c r="E45">
        <v>2</v>
      </c>
      <c r="F45">
        <v>472</v>
      </c>
      <c r="G45">
        <v>472</v>
      </c>
      <c r="H45">
        <v>6558</v>
      </c>
      <c r="I45">
        <v>3515</v>
      </c>
      <c r="J45">
        <v>3515</v>
      </c>
      <c r="K45">
        <v>3043</v>
      </c>
    </row>
    <row r="46" spans="1:11" x14ac:dyDescent="0.35">
      <c r="A46" t="s">
        <v>25</v>
      </c>
      <c r="B46">
        <v>1</v>
      </c>
      <c r="C46">
        <v>0.94699999999999995</v>
      </c>
      <c r="D46">
        <v>130</v>
      </c>
      <c r="E46">
        <v>129</v>
      </c>
      <c r="F46">
        <v>309</v>
      </c>
      <c r="G46">
        <v>187</v>
      </c>
      <c r="H46">
        <v>1112</v>
      </c>
      <c r="I46">
        <v>345.94573643410854</v>
      </c>
      <c r="J46">
        <v>309</v>
      </c>
      <c r="K46">
        <v>152.29516985410856</v>
      </c>
    </row>
    <row r="47" spans="1:11" x14ac:dyDescent="0.35">
      <c r="A47" t="s">
        <v>25</v>
      </c>
      <c r="B47">
        <v>2</v>
      </c>
      <c r="C47">
        <v>1.161</v>
      </c>
      <c r="D47">
        <v>80</v>
      </c>
      <c r="E47">
        <v>79</v>
      </c>
      <c r="F47">
        <v>195</v>
      </c>
      <c r="G47">
        <v>183</v>
      </c>
      <c r="H47">
        <v>2761</v>
      </c>
      <c r="I47">
        <v>423.88607594936707</v>
      </c>
      <c r="J47">
        <v>301</v>
      </c>
      <c r="K47">
        <v>425.3305784273702</v>
      </c>
    </row>
    <row r="48" spans="1:11" x14ac:dyDescent="0.35">
      <c r="A48" t="s">
        <v>25</v>
      </c>
      <c r="B48">
        <v>3</v>
      </c>
      <c r="C48">
        <v>1.4870000000000001</v>
      </c>
      <c r="D48">
        <v>68</v>
      </c>
      <c r="E48">
        <v>67</v>
      </c>
      <c r="F48">
        <v>242</v>
      </c>
      <c r="G48">
        <v>183</v>
      </c>
      <c r="H48">
        <v>13608</v>
      </c>
      <c r="I48">
        <v>543.20895522388059</v>
      </c>
      <c r="J48">
        <v>292</v>
      </c>
      <c r="K48">
        <v>1629.695315698415</v>
      </c>
    </row>
    <row r="49" spans="1:11" x14ac:dyDescent="0.35">
      <c r="A49" t="s">
        <v>26</v>
      </c>
      <c r="B49">
        <v>1</v>
      </c>
      <c r="C49">
        <v>1.375</v>
      </c>
      <c r="D49">
        <v>78</v>
      </c>
      <c r="E49">
        <v>77</v>
      </c>
      <c r="F49">
        <v>288</v>
      </c>
      <c r="G49">
        <v>181</v>
      </c>
      <c r="H49">
        <v>7639</v>
      </c>
      <c r="I49">
        <v>502.03896103896102</v>
      </c>
      <c r="J49">
        <v>312</v>
      </c>
      <c r="K49">
        <v>974.24760768474061</v>
      </c>
    </row>
    <row r="50" spans="1:11" x14ac:dyDescent="0.35">
      <c r="A50" t="s">
        <v>26</v>
      </c>
      <c r="B50">
        <v>2</v>
      </c>
      <c r="C50">
        <v>1.4410000000000001</v>
      </c>
      <c r="D50">
        <v>70</v>
      </c>
      <c r="E50">
        <v>69</v>
      </c>
      <c r="F50">
        <v>198</v>
      </c>
      <c r="G50">
        <v>198</v>
      </c>
      <c r="H50">
        <v>14530</v>
      </c>
      <c r="I50">
        <v>526.15942028985512</v>
      </c>
      <c r="J50">
        <v>301</v>
      </c>
      <c r="K50">
        <v>1702.1230274783686</v>
      </c>
    </row>
    <row r="51" spans="1:11" x14ac:dyDescent="0.35">
      <c r="A51" t="s">
        <v>26</v>
      </c>
      <c r="B51">
        <v>3</v>
      </c>
      <c r="C51">
        <v>2.302</v>
      </c>
      <c r="D51">
        <v>50</v>
      </c>
      <c r="E51">
        <v>49</v>
      </c>
      <c r="F51">
        <v>233</v>
      </c>
      <c r="G51">
        <v>182</v>
      </c>
      <c r="H51">
        <v>12472</v>
      </c>
      <c r="I51">
        <v>840.9591836734694</v>
      </c>
      <c r="J51">
        <v>432</v>
      </c>
      <c r="K51">
        <v>1793.6155704778434</v>
      </c>
    </row>
    <row r="52" spans="1:11" x14ac:dyDescent="0.35">
      <c r="A52" t="s">
        <v>27</v>
      </c>
      <c r="B52">
        <v>1</v>
      </c>
      <c r="C52">
        <v>1.0649999999999999</v>
      </c>
      <c r="D52">
        <v>113</v>
      </c>
      <c r="E52">
        <v>112</v>
      </c>
      <c r="F52">
        <v>230</v>
      </c>
      <c r="G52">
        <v>184</v>
      </c>
      <c r="H52">
        <v>2126</v>
      </c>
      <c r="I52">
        <v>388.89285714285717</v>
      </c>
      <c r="J52">
        <v>332.5</v>
      </c>
      <c r="K52">
        <v>247.91071107006513</v>
      </c>
    </row>
    <row r="53" spans="1:11" x14ac:dyDescent="0.35">
      <c r="A53" t="s">
        <v>27</v>
      </c>
      <c r="B53">
        <v>2</v>
      </c>
      <c r="C53">
        <v>5.0650000000000004</v>
      </c>
      <c r="D53">
        <v>9</v>
      </c>
      <c r="E53">
        <v>8</v>
      </c>
      <c r="F53">
        <v>280</v>
      </c>
      <c r="G53">
        <v>280</v>
      </c>
      <c r="H53">
        <v>8752</v>
      </c>
      <c r="I53">
        <v>1850</v>
      </c>
      <c r="J53">
        <v>978.5</v>
      </c>
      <c r="K53">
        <v>2642.021337915347</v>
      </c>
    </row>
    <row r="54" spans="1:11" x14ac:dyDescent="0.35">
      <c r="A54" t="s">
        <v>27</v>
      </c>
      <c r="B54">
        <v>3</v>
      </c>
      <c r="C54">
        <v>13.420999999999999</v>
      </c>
      <c r="D54">
        <v>8</v>
      </c>
      <c r="E54">
        <v>7</v>
      </c>
      <c r="F54">
        <v>598</v>
      </c>
      <c r="G54">
        <v>598</v>
      </c>
      <c r="H54">
        <v>18438</v>
      </c>
      <c r="I54">
        <v>4901.8571428571431</v>
      </c>
      <c r="J54">
        <v>2554</v>
      </c>
      <c r="K54">
        <v>5772.180212724068</v>
      </c>
    </row>
    <row r="55" spans="1:11" x14ac:dyDescent="0.35">
      <c r="A55" t="s">
        <v>28</v>
      </c>
      <c r="B55">
        <v>1</v>
      </c>
      <c r="C55">
        <v>1.5189999999999999</v>
      </c>
      <c r="D55">
        <v>79</v>
      </c>
      <c r="E55">
        <v>78</v>
      </c>
      <c r="F55">
        <v>334</v>
      </c>
      <c r="G55">
        <v>186</v>
      </c>
      <c r="H55">
        <v>5447</v>
      </c>
      <c r="I55">
        <v>554.97435897435901</v>
      </c>
      <c r="J55">
        <v>338</v>
      </c>
      <c r="K55">
        <v>747.68838590649568</v>
      </c>
    </row>
    <row r="56" spans="1:11" x14ac:dyDescent="0.35">
      <c r="A56" t="s">
        <v>28</v>
      </c>
      <c r="B56">
        <v>2</v>
      </c>
      <c r="C56">
        <v>3.8490000000000002</v>
      </c>
      <c r="D56">
        <v>29</v>
      </c>
      <c r="E56">
        <v>28</v>
      </c>
      <c r="F56">
        <v>229</v>
      </c>
      <c r="G56">
        <v>229</v>
      </c>
      <c r="H56">
        <v>12632</v>
      </c>
      <c r="I56">
        <v>1405.8214285714287</v>
      </c>
      <c r="J56">
        <v>909.5</v>
      </c>
      <c r="K56">
        <v>2253.0398838263482</v>
      </c>
    </row>
    <row r="57" spans="1:11" x14ac:dyDescent="0.35">
      <c r="A57" t="s">
        <v>28</v>
      </c>
      <c r="B57">
        <v>3</v>
      </c>
      <c r="C57">
        <v>14.631</v>
      </c>
      <c r="D57">
        <v>4</v>
      </c>
      <c r="E57">
        <v>3</v>
      </c>
      <c r="F57">
        <v>274</v>
      </c>
      <c r="G57">
        <v>274</v>
      </c>
      <c r="H57">
        <v>12960</v>
      </c>
      <c r="I57">
        <v>5344</v>
      </c>
      <c r="J57">
        <v>2798</v>
      </c>
      <c r="K57">
        <v>5483.0183901448545</v>
      </c>
    </row>
    <row r="58" spans="1:11" x14ac:dyDescent="0.35">
      <c r="A58" t="s">
        <v>29</v>
      </c>
      <c r="B58">
        <v>1</v>
      </c>
      <c r="C58">
        <v>0.88300000000000001</v>
      </c>
      <c r="D58">
        <v>144</v>
      </c>
      <c r="E58">
        <v>143</v>
      </c>
      <c r="F58">
        <v>188</v>
      </c>
      <c r="G58">
        <v>181</v>
      </c>
      <c r="H58">
        <v>689</v>
      </c>
      <c r="I58">
        <v>322.42657342657344</v>
      </c>
      <c r="J58">
        <v>303</v>
      </c>
      <c r="K58">
        <v>102.55822085275452</v>
      </c>
    </row>
    <row r="59" spans="1:11" x14ac:dyDescent="0.35">
      <c r="A59" t="s">
        <v>29</v>
      </c>
      <c r="B59">
        <v>2</v>
      </c>
      <c r="C59">
        <v>3.13</v>
      </c>
      <c r="D59">
        <v>32</v>
      </c>
      <c r="E59">
        <v>31</v>
      </c>
      <c r="F59">
        <v>196</v>
      </c>
      <c r="G59">
        <v>196</v>
      </c>
      <c r="H59">
        <v>10710</v>
      </c>
      <c r="I59">
        <v>1143.1612903225807</v>
      </c>
      <c r="J59">
        <v>602</v>
      </c>
      <c r="K59">
        <v>1902.6206052531386</v>
      </c>
    </row>
    <row r="60" spans="1:11" x14ac:dyDescent="0.35">
      <c r="A60" t="s">
        <v>29</v>
      </c>
      <c r="B60">
        <v>3</v>
      </c>
      <c r="C60">
        <v>1.9</v>
      </c>
      <c r="D60">
        <v>31</v>
      </c>
      <c r="E60">
        <v>30</v>
      </c>
      <c r="F60">
        <v>207</v>
      </c>
      <c r="G60">
        <v>207</v>
      </c>
      <c r="H60">
        <v>2672</v>
      </c>
      <c r="I60">
        <v>693.93333333333328</v>
      </c>
      <c r="J60">
        <v>462.5</v>
      </c>
      <c r="K60">
        <v>568.26830126465973</v>
      </c>
    </row>
    <row r="61" spans="1:11" x14ac:dyDescent="0.35">
      <c r="A61" t="s">
        <v>30</v>
      </c>
      <c r="B61">
        <v>1</v>
      </c>
      <c r="C61">
        <v>1.2450000000000001</v>
      </c>
      <c r="D61">
        <v>98</v>
      </c>
      <c r="E61">
        <v>97</v>
      </c>
      <c r="F61">
        <v>185</v>
      </c>
      <c r="G61">
        <v>185</v>
      </c>
      <c r="H61">
        <v>5050</v>
      </c>
      <c r="I61">
        <v>454.64948453608247</v>
      </c>
      <c r="J61">
        <v>294</v>
      </c>
      <c r="K61">
        <v>624.4223068926151</v>
      </c>
    </row>
    <row r="62" spans="1:11" x14ac:dyDescent="0.35">
      <c r="A62" t="s">
        <v>30</v>
      </c>
      <c r="B62">
        <v>2</v>
      </c>
    </row>
    <row r="63" spans="1:11" x14ac:dyDescent="0.35">
      <c r="A63" t="s">
        <v>30</v>
      </c>
      <c r="B63">
        <v>3</v>
      </c>
    </row>
    <row r="64" spans="1:11" x14ac:dyDescent="0.35">
      <c r="A64" t="s">
        <v>31</v>
      </c>
      <c r="B64">
        <v>1</v>
      </c>
      <c r="C64">
        <v>1.367</v>
      </c>
      <c r="D64">
        <v>75</v>
      </c>
      <c r="E64">
        <v>74</v>
      </c>
      <c r="F64">
        <v>269</v>
      </c>
      <c r="G64">
        <v>183</v>
      </c>
      <c r="H64">
        <v>3741</v>
      </c>
      <c r="I64">
        <v>499.25675675675677</v>
      </c>
      <c r="J64">
        <v>360</v>
      </c>
      <c r="K64">
        <v>465.26084113342711</v>
      </c>
    </row>
    <row r="65" spans="1:11" x14ac:dyDescent="0.35">
      <c r="A65" t="s">
        <v>31</v>
      </c>
      <c r="B65">
        <v>2</v>
      </c>
      <c r="C65">
        <v>2.012</v>
      </c>
      <c r="D65">
        <v>48</v>
      </c>
      <c r="E65">
        <v>47</v>
      </c>
      <c r="F65">
        <v>375</v>
      </c>
      <c r="G65">
        <v>182</v>
      </c>
      <c r="H65">
        <v>7303</v>
      </c>
      <c r="I65">
        <v>734.70212765957444</v>
      </c>
      <c r="J65">
        <v>404</v>
      </c>
      <c r="K65">
        <v>1083.3883199008565</v>
      </c>
    </row>
    <row r="66" spans="1:11" x14ac:dyDescent="0.35">
      <c r="A66" t="s">
        <v>31</v>
      </c>
      <c r="B66">
        <v>3</v>
      </c>
      <c r="C66">
        <v>2.1619999999999999</v>
      </c>
      <c r="D66">
        <v>43</v>
      </c>
      <c r="E66">
        <v>42</v>
      </c>
      <c r="F66">
        <v>270</v>
      </c>
      <c r="G66">
        <v>197</v>
      </c>
      <c r="H66">
        <v>4391</v>
      </c>
      <c r="I66">
        <v>789.57142857142856</v>
      </c>
      <c r="J66">
        <v>438.5</v>
      </c>
      <c r="K66">
        <v>856.99894823675925</v>
      </c>
    </row>
    <row r="67" spans="1:11" x14ac:dyDescent="0.35">
      <c r="A67" t="s">
        <v>32</v>
      </c>
      <c r="B67">
        <v>1</v>
      </c>
      <c r="C67">
        <v>0.95499999999999996</v>
      </c>
      <c r="D67">
        <v>122</v>
      </c>
      <c r="E67">
        <v>121</v>
      </c>
      <c r="F67">
        <v>187</v>
      </c>
      <c r="G67">
        <v>182</v>
      </c>
      <c r="H67">
        <v>921</v>
      </c>
      <c r="I67">
        <v>348.95867768595042</v>
      </c>
      <c r="J67">
        <v>325</v>
      </c>
      <c r="K67">
        <v>138.87019902327455</v>
      </c>
    </row>
    <row r="68" spans="1:11" x14ac:dyDescent="0.35">
      <c r="A68" t="s">
        <v>32</v>
      </c>
      <c r="B68">
        <v>2</v>
      </c>
      <c r="C68">
        <v>1.345</v>
      </c>
      <c r="D68">
        <v>81</v>
      </c>
      <c r="E68">
        <v>80</v>
      </c>
      <c r="F68">
        <v>301</v>
      </c>
      <c r="G68">
        <v>181</v>
      </c>
      <c r="H68">
        <v>3550</v>
      </c>
      <c r="I68">
        <v>491.26249999999999</v>
      </c>
      <c r="J68">
        <v>327.5</v>
      </c>
      <c r="K68">
        <v>482.00720284426251</v>
      </c>
    </row>
    <row r="69" spans="1:11" x14ac:dyDescent="0.35">
      <c r="A69" t="s">
        <v>32</v>
      </c>
      <c r="B69">
        <v>3</v>
      </c>
    </row>
    <row r="70" spans="1:11" x14ac:dyDescent="0.35">
      <c r="A70" t="s">
        <v>34</v>
      </c>
      <c r="B70">
        <v>1</v>
      </c>
      <c r="C70">
        <v>4.6829999999999998</v>
      </c>
      <c r="D70">
        <v>25</v>
      </c>
      <c r="E70">
        <v>24</v>
      </c>
      <c r="F70">
        <v>184</v>
      </c>
      <c r="G70">
        <v>184</v>
      </c>
      <c r="H70">
        <v>6736</v>
      </c>
      <c r="I70">
        <v>1710.375</v>
      </c>
      <c r="J70">
        <v>956</v>
      </c>
      <c r="K70">
        <v>1890.355628193189</v>
      </c>
    </row>
    <row r="71" spans="1:11" x14ac:dyDescent="0.35">
      <c r="A71" t="s">
        <v>34</v>
      </c>
      <c r="B71">
        <v>2</v>
      </c>
      <c r="C71">
        <v>7.3079999999999998</v>
      </c>
      <c r="D71">
        <v>15</v>
      </c>
      <c r="E71">
        <v>14</v>
      </c>
      <c r="F71">
        <v>254</v>
      </c>
      <c r="G71">
        <v>254</v>
      </c>
      <c r="H71">
        <v>8505</v>
      </c>
      <c r="I71">
        <v>2669.2142857142858</v>
      </c>
      <c r="J71">
        <v>1292.5</v>
      </c>
      <c r="K71">
        <v>2750.4257119469294</v>
      </c>
    </row>
    <row r="72" spans="1:11" x14ac:dyDescent="0.35">
      <c r="A72" t="s">
        <v>34</v>
      </c>
      <c r="B72">
        <v>3</v>
      </c>
      <c r="C72">
        <v>13.718</v>
      </c>
      <c r="D72">
        <v>8</v>
      </c>
      <c r="E72">
        <v>7</v>
      </c>
      <c r="F72">
        <v>878</v>
      </c>
      <c r="G72">
        <v>878</v>
      </c>
      <c r="H72">
        <v>14416</v>
      </c>
      <c r="I72">
        <v>5010.5714285714284</v>
      </c>
      <c r="J72">
        <v>2585</v>
      </c>
      <c r="K72">
        <v>4533.6609570488827</v>
      </c>
    </row>
    <row r="73" spans="1:11" x14ac:dyDescent="0.35">
      <c r="A73" t="s">
        <v>35</v>
      </c>
      <c r="B73">
        <v>1</v>
      </c>
      <c r="C73">
        <v>1.552</v>
      </c>
      <c r="D73">
        <v>39</v>
      </c>
      <c r="E73">
        <v>38</v>
      </c>
      <c r="F73">
        <v>182</v>
      </c>
      <c r="G73">
        <v>182</v>
      </c>
      <c r="H73">
        <v>2276</v>
      </c>
      <c r="I73">
        <v>566.81578947368416</v>
      </c>
      <c r="J73">
        <v>397</v>
      </c>
      <c r="K73">
        <v>413.5065617288289</v>
      </c>
    </row>
    <row r="74" spans="1:11" x14ac:dyDescent="0.35">
      <c r="A74" t="s">
        <v>35</v>
      </c>
      <c r="B74">
        <v>2</v>
      </c>
      <c r="C74">
        <v>4.0510000000000002</v>
      </c>
      <c r="D74">
        <v>26</v>
      </c>
      <c r="E74">
        <v>25</v>
      </c>
      <c r="F74">
        <v>194</v>
      </c>
      <c r="G74">
        <v>194</v>
      </c>
      <c r="H74">
        <v>17293</v>
      </c>
      <c r="I74">
        <v>1479.64</v>
      </c>
      <c r="J74">
        <v>483</v>
      </c>
      <c r="K74">
        <v>3304.7804995793604</v>
      </c>
    </row>
    <row r="75" spans="1:11" x14ac:dyDescent="0.35">
      <c r="A75" t="s">
        <v>35</v>
      </c>
      <c r="B75">
        <v>3</v>
      </c>
    </row>
    <row r="76" spans="1:11" x14ac:dyDescent="0.35">
      <c r="A76" t="s">
        <v>36</v>
      </c>
      <c r="B76">
        <v>1</v>
      </c>
      <c r="C76">
        <v>3.121</v>
      </c>
      <c r="D76">
        <v>17</v>
      </c>
      <c r="E76">
        <v>16</v>
      </c>
      <c r="F76">
        <v>248</v>
      </c>
      <c r="G76">
        <v>248</v>
      </c>
      <c r="H76">
        <v>3351</v>
      </c>
      <c r="I76">
        <v>1139.875</v>
      </c>
      <c r="J76">
        <v>817.5</v>
      </c>
      <c r="K76">
        <v>876.40058442187274</v>
      </c>
    </row>
    <row r="77" spans="1:11" x14ac:dyDescent="0.35">
      <c r="A77" t="s">
        <v>36</v>
      </c>
      <c r="B77">
        <v>2</v>
      </c>
      <c r="C77">
        <v>1.3220000000000001</v>
      </c>
      <c r="D77">
        <v>40</v>
      </c>
      <c r="E77">
        <v>39</v>
      </c>
      <c r="F77">
        <v>251</v>
      </c>
      <c r="G77">
        <v>184</v>
      </c>
      <c r="H77">
        <v>1285</v>
      </c>
      <c r="I77">
        <v>482.74358974358972</v>
      </c>
      <c r="J77">
        <v>365</v>
      </c>
      <c r="K77">
        <v>296.38754238230297</v>
      </c>
    </row>
    <row r="78" spans="1:11" x14ac:dyDescent="0.35">
      <c r="A78" t="s">
        <v>36</v>
      </c>
      <c r="B78">
        <v>3</v>
      </c>
      <c r="C78">
        <v>2.0920000000000001</v>
      </c>
      <c r="D78">
        <v>23</v>
      </c>
      <c r="E78">
        <v>22</v>
      </c>
      <c r="F78">
        <v>181</v>
      </c>
      <c r="G78">
        <v>181</v>
      </c>
      <c r="H78">
        <v>4159</v>
      </c>
      <c r="I78">
        <v>764.27272727272725</v>
      </c>
      <c r="J78">
        <v>574.5</v>
      </c>
      <c r="K78">
        <v>822.86258555772474</v>
      </c>
    </row>
    <row r="79" spans="1:11" x14ac:dyDescent="0.35">
      <c r="A79" t="s">
        <v>37</v>
      </c>
      <c r="B79">
        <v>1</v>
      </c>
      <c r="C79">
        <v>1.9930000000000001</v>
      </c>
      <c r="D79">
        <v>53</v>
      </c>
      <c r="E79">
        <v>52</v>
      </c>
      <c r="F79">
        <v>186</v>
      </c>
      <c r="G79">
        <v>186</v>
      </c>
      <c r="H79">
        <v>10513</v>
      </c>
      <c r="I79">
        <v>727.78846153846155</v>
      </c>
      <c r="J79">
        <v>347.5</v>
      </c>
      <c r="K79">
        <v>1470.386335111371</v>
      </c>
    </row>
    <row r="80" spans="1:11" x14ac:dyDescent="0.35">
      <c r="A80" t="s">
        <v>37</v>
      </c>
      <c r="B80">
        <v>2</v>
      </c>
      <c r="C80">
        <v>4.6669999999999998</v>
      </c>
      <c r="D80">
        <v>12</v>
      </c>
      <c r="E80">
        <v>11</v>
      </c>
      <c r="F80">
        <v>293</v>
      </c>
      <c r="G80">
        <v>293</v>
      </c>
      <c r="H80">
        <v>4474</v>
      </c>
      <c r="I80">
        <v>1704.6363636363637</v>
      </c>
      <c r="J80">
        <v>1683</v>
      </c>
      <c r="K80">
        <v>1223.386230006123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E9DF-A2CA-4115-9F14-0B18289F53E5}">
  <dimension ref="A1:K80"/>
  <sheetViews>
    <sheetView topLeftCell="A50" workbookViewId="0"/>
  </sheetViews>
  <sheetFormatPr defaultRowHeight="14.5" x14ac:dyDescent="0.35"/>
  <cols>
    <col min="1" max="1" width="16.6328125" bestFit="1" customWidth="1"/>
    <col min="2" max="2" width="11.26953125" bestFit="1" customWidth="1"/>
    <col min="3" max="3" width="10.54296875" bestFit="1" customWidth="1"/>
    <col min="4" max="4" width="18.7265625" bestFit="1" customWidth="1"/>
    <col min="5" max="5" width="11.90625" bestFit="1" customWidth="1"/>
    <col min="6" max="6" width="13.36328125" bestFit="1" customWidth="1"/>
    <col min="7" max="7" width="10.26953125" bestFit="1" customWidth="1"/>
    <col min="8" max="8" width="10.6328125" bestFit="1" customWidth="1"/>
    <col min="9" max="9" width="11.81640625" bestFit="1" customWidth="1"/>
    <col min="10" max="10" width="13.36328125" bestFit="1" customWidth="1"/>
    <col min="11" max="11" width="11.81640625" bestFit="1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38</v>
      </c>
      <c r="F1" t="s">
        <v>4</v>
      </c>
      <c r="G1" t="s">
        <v>39</v>
      </c>
      <c r="H1" t="s">
        <v>40</v>
      </c>
      <c r="I1" t="s">
        <v>5</v>
      </c>
      <c r="J1" t="s">
        <v>6</v>
      </c>
      <c r="K1" t="s">
        <v>41</v>
      </c>
    </row>
    <row r="2" spans="1:11" x14ac:dyDescent="0.35">
      <c r="A2" t="s">
        <v>9</v>
      </c>
      <c r="B2">
        <v>1</v>
      </c>
      <c r="C2">
        <v>0.89700000000000002</v>
      </c>
      <c r="D2">
        <v>141</v>
      </c>
      <c r="E2">
        <v>140</v>
      </c>
      <c r="F2">
        <v>194</v>
      </c>
      <c r="G2">
        <v>185</v>
      </c>
      <c r="H2">
        <v>1218</v>
      </c>
      <c r="I2">
        <v>327.62142857142857</v>
      </c>
      <c r="J2">
        <v>301</v>
      </c>
      <c r="K2">
        <v>128.13210079875395</v>
      </c>
    </row>
    <row r="3" spans="1:11" x14ac:dyDescent="0.35">
      <c r="A3" t="s">
        <v>9</v>
      </c>
      <c r="B3">
        <v>2</v>
      </c>
      <c r="C3">
        <v>1.097</v>
      </c>
      <c r="D3">
        <v>115</v>
      </c>
      <c r="E3">
        <v>114</v>
      </c>
      <c r="F3">
        <v>198</v>
      </c>
      <c r="G3">
        <v>184</v>
      </c>
      <c r="H3">
        <v>1157</v>
      </c>
      <c r="I3">
        <v>400.57017543859649</v>
      </c>
      <c r="J3">
        <v>363</v>
      </c>
      <c r="K3">
        <v>199.30334674253777</v>
      </c>
    </row>
    <row r="4" spans="1:11" x14ac:dyDescent="0.35">
      <c r="A4" t="s">
        <v>9</v>
      </c>
      <c r="B4">
        <v>3</v>
      </c>
      <c r="C4">
        <v>24.545000000000002</v>
      </c>
      <c r="D4">
        <v>4</v>
      </c>
      <c r="E4">
        <v>3</v>
      </c>
      <c r="F4">
        <v>190</v>
      </c>
      <c r="G4">
        <v>190</v>
      </c>
      <c r="H4">
        <v>20846</v>
      </c>
      <c r="I4">
        <v>8965</v>
      </c>
      <c r="J4">
        <v>5859</v>
      </c>
      <c r="K4">
        <v>8714.0886308705103</v>
      </c>
    </row>
    <row r="5" spans="1:11" x14ac:dyDescent="0.35">
      <c r="A5" t="s">
        <v>10</v>
      </c>
      <c r="B5">
        <v>1</v>
      </c>
      <c r="C5">
        <v>0.90400000000000003</v>
      </c>
      <c r="D5">
        <v>141</v>
      </c>
      <c r="E5">
        <v>140</v>
      </c>
      <c r="F5">
        <v>216</v>
      </c>
      <c r="G5">
        <v>182</v>
      </c>
      <c r="H5">
        <v>1579</v>
      </c>
      <c r="I5">
        <v>330.02857142857141</v>
      </c>
      <c r="J5">
        <v>286</v>
      </c>
      <c r="K5">
        <v>156.58292840979743</v>
      </c>
    </row>
    <row r="6" spans="1:11" x14ac:dyDescent="0.35">
      <c r="A6" t="s">
        <v>10</v>
      </c>
      <c r="B6">
        <v>2</v>
      </c>
      <c r="C6">
        <v>5.9480000000000004</v>
      </c>
      <c r="D6">
        <v>12</v>
      </c>
      <c r="E6">
        <v>11</v>
      </c>
      <c r="F6">
        <v>249</v>
      </c>
      <c r="G6">
        <v>249</v>
      </c>
      <c r="H6">
        <v>8693</v>
      </c>
      <c r="I6">
        <v>2172.4545454545455</v>
      </c>
      <c r="J6">
        <v>1165</v>
      </c>
      <c r="K6">
        <v>2295.2070361610026</v>
      </c>
    </row>
    <row r="7" spans="1:11" x14ac:dyDescent="0.35">
      <c r="A7" t="s">
        <v>10</v>
      </c>
      <c r="B7">
        <v>3</v>
      </c>
      <c r="C7">
        <v>49.777000000000001</v>
      </c>
      <c r="D7">
        <v>2</v>
      </c>
      <c r="E7">
        <v>1</v>
      </c>
      <c r="F7">
        <v>18181</v>
      </c>
      <c r="G7">
        <v>18181</v>
      </c>
      <c r="H7">
        <v>18181</v>
      </c>
      <c r="I7">
        <v>18181</v>
      </c>
      <c r="J7">
        <v>18181</v>
      </c>
      <c r="K7">
        <v>0</v>
      </c>
    </row>
    <row r="8" spans="1:11" x14ac:dyDescent="0.35">
      <c r="A8" t="s">
        <v>11</v>
      </c>
      <c r="B8">
        <v>1</v>
      </c>
      <c r="C8">
        <v>0.90200000000000002</v>
      </c>
      <c r="D8">
        <v>139</v>
      </c>
      <c r="E8">
        <v>138</v>
      </c>
      <c r="F8">
        <v>183</v>
      </c>
      <c r="G8">
        <v>181</v>
      </c>
      <c r="H8">
        <v>1194</v>
      </c>
      <c r="I8">
        <v>329.463768115942</v>
      </c>
      <c r="J8">
        <v>273</v>
      </c>
      <c r="K8">
        <v>168.66625820911861</v>
      </c>
    </row>
    <row r="9" spans="1:11" x14ac:dyDescent="0.35">
      <c r="A9" t="s">
        <v>11</v>
      </c>
      <c r="B9">
        <v>2</v>
      </c>
      <c r="D9">
        <v>1</v>
      </c>
    </row>
    <row r="10" spans="1:11" x14ac:dyDescent="0.35">
      <c r="A10" t="s">
        <v>11</v>
      </c>
      <c r="B10">
        <v>3</v>
      </c>
    </row>
    <row r="11" spans="1:11" x14ac:dyDescent="0.35">
      <c r="A11" t="s">
        <v>12</v>
      </c>
      <c r="B11">
        <v>1</v>
      </c>
      <c r="C11">
        <v>0.99399999999999999</v>
      </c>
      <c r="D11">
        <v>125</v>
      </c>
      <c r="E11">
        <v>124</v>
      </c>
      <c r="F11">
        <v>222</v>
      </c>
      <c r="G11">
        <v>182</v>
      </c>
      <c r="H11">
        <v>1204</v>
      </c>
      <c r="I11">
        <v>362.94354838709677</v>
      </c>
      <c r="J11">
        <v>333.5</v>
      </c>
      <c r="K11">
        <v>158.89707068187229</v>
      </c>
    </row>
    <row r="12" spans="1:11" x14ac:dyDescent="0.35">
      <c r="A12" t="s">
        <v>12</v>
      </c>
      <c r="B12">
        <v>2</v>
      </c>
    </row>
    <row r="13" spans="1:11" x14ac:dyDescent="0.35">
      <c r="A13" t="s">
        <v>12</v>
      </c>
      <c r="B13">
        <v>3</v>
      </c>
    </row>
    <row r="14" spans="1:11" x14ac:dyDescent="0.35">
      <c r="A14" t="s">
        <v>13</v>
      </c>
      <c r="B14">
        <v>1</v>
      </c>
      <c r="C14">
        <v>0.90900000000000003</v>
      </c>
      <c r="D14">
        <v>139</v>
      </c>
      <c r="E14">
        <v>138</v>
      </c>
      <c r="F14">
        <v>181</v>
      </c>
      <c r="G14">
        <v>181</v>
      </c>
      <c r="H14">
        <v>759</v>
      </c>
      <c r="I14">
        <v>331.89855072463769</v>
      </c>
      <c r="J14">
        <v>310.5</v>
      </c>
      <c r="K14">
        <v>116.84507827349931</v>
      </c>
    </row>
    <row r="15" spans="1:11" x14ac:dyDescent="0.35">
      <c r="A15" t="s">
        <v>13</v>
      </c>
      <c r="B15">
        <v>2</v>
      </c>
      <c r="C15">
        <v>2.0979999999999999</v>
      </c>
      <c r="D15">
        <v>60</v>
      </c>
      <c r="E15">
        <v>59</v>
      </c>
      <c r="F15">
        <v>271</v>
      </c>
      <c r="G15">
        <v>183</v>
      </c>
      <c r="H15">
        <v>4222</v>
      </c>
      <c r="I15">
        <v>766.15254237288138</v>
      </c>
      <c r="J15">
        <v>614</v>
      </c>
      <c r="K15">
        <v>612.07736892028925</v>
      </c>
    </row>
    <row r="16" spans="1:11" x14ac:dyDescent="0.35">
      <c r="A16" t="s">
        <v>13</v>
      </c>
      <c r="B16">
        <v>3</v>
      </c>
      <c r="C16">
        <v>4.7169999999999996</v>
      </c>
      <c r="D16">
        <v>25</v>
      </c>
      <c r="E16">
        <v>24</v>
      </c>
      <c r="F16">
        <v>227</v>
      </c>
      <c r="G16">
        <v>227</v>
      </c>
      <c r="H16">
        <v>7203</v>
      </c>
      <c r="I16">
        <v>1722.9583333333333</v>
      </c>
      <c r="J16">
        <v>1034.5</v>
      </c>
      <c r="K16">
        <v>1587.357092758449</v>
      </c>
    </row>
    <row r="17" spans="1:11" x14ac:dyDescent="0.35">
      <c r="A17" t="s">
        <v>14</v>
      </c>
      <c r="B17">
        <v>1</v>
      </c>
      <c r="C17">
        <v>1.155</v>
      </c>
      <c r="D17">
        <v>110</v>
      </c>
      <c r="E17">
        <v>109</v>
      </c>
      <c r="F17">
        <v>187</v>
      </c>
      <c r="G17">
        <v>185</v>
      </c>
      <c r="H17">
        <v>1181</v>
      </c>
      <c r="I17">
        <v>422.04587155963304</v>
      </c>
      <c r="J17">
        <v>363</v>
      </c>
      <c r="K17">
        <v>209.86078326956567</v>
      </c>
    </row>
    <row r="18" spans="1:11" x14ac:dyDescent="0.35">
      <c r="A18" t="s">
        <v>14</v>
      </c>
      <c r="B18">
        <v>2</v>
      </c>
      <c r="C18">
        <v>1.8169999999999999</v>
      </c>
      <c r="D18">
        <v>69</v>
      </c>
      <c r="E18">
        <v>68</v>
      </c>
      <c r="F18">
        <v>340</v>
      </c>
      <c r="G18">
        <v>187</v>
      </c>
      <c r="H18">
        <v>2958</v>
      </c>
      <c r="I18">
        <v>663.61764705882354</v>
      </c>
      <c r="J18">
        <v>520</v>
      </c>
      <c r="K18">
        <v>493.47185477318476</v>
      </c>
    </row>
    <row r="19" spans="1:11" x14ac:dyDescent="0.35">
      <c r="A19" t="s">
        <v>14</v>
      </c>
      <c r="B19">
        <v>3</v>
      </c>
      <c r="C19">
        <v>36.378</v>
      </c>
      <c r="D19">
        <v>2</v>
      </c>
      <c r="E19">
        <v>1</v>
      </c>
      <c r="F19">
        <v>13287</v>
      </c>
      <c r="G19">
        <v>13287</v>
      </c>
      <c r="H19">
        <v>13287</v>
      </c>
      <c r="I19">
        <v>13287</v>
      </c>
      <c r="J19">
        <v>13287</v>
      </c>
      <c r="K19">
        <v>0</v>
      </c>
    </row>
    <row r="20" spans="1:11" x14ac:dyDescent="0.35">
      <c r="A20" t="s">
        <v>15</v>
      </c>
      <c r="B20">
        <v>1</v>
      </c>
      <c r="C20">
        <v>1.8979999999999999</v>
      </c>
      <c r="D20">
        <v>61</v>
      </c>
      <c r="E20">
        <v>60</v>
      </c>
      <c r="F20">
        <v>233</v>
      </c>
      <c r="G20">
        <v>193</v>
      </c>
      <c r="H20">
        <v>2276</v>
      </c>
      <c r="I20">
        <v>693.11666666666667</v>
      </c>
      <c r="J20">
        <v>517.5</v>
      </c>
      <c r="K20">
        <v>473.2369417697181</v>
      </c>
    </row>
    <row r="21" spans="1:11" x14ac:dyDescent="0.35">
      <c r="A21" t="s">
        <v>15</v>
      </c>
      <c r="B21">
        <v>2</v>
      </c>
      <c r="C21">
        <v>7.3680000000000003</v>
      </c>
      <c r="D21">
        <v>3</v>
      </c>
      <c r="E21">
        <v>2</v>
      </c>
      <c r="F21">
        <v>779</v>
      </c>
      <c r="G21">
        <v>779</v>
      </c>
      <c r="H21">
        <v>4603</v>
      </c>
      <c r="I21">
        <v>2691</v>
      </c>
      <c r="J21">
        <v>2691</v>
      </c>
      <c r="K21">
        <v>1912</v>
      </c>
    </row>
    <row r="22" spans="1:11" x14ac:dyDescent="0.35">
      <c r="A22" t="s">
        <v>15</v>
      </c>
      <c r="B22">
        <v>3</v>
      </c>
      <c r="C22">
        <v>2.2530000000000001</v>
      </c>
      <c r="D22">
        <v>2</v>
      </c>
      <c r="E22">
        <v>1</v>
      </c>
      <c r="F22">
        <v>823</v>
      </c>
      <c r="G22">
        <v>823</v>
      </c>
      <c r="H22">
        <v>823</v>
      </c>
      <c r="I22">
        <v>823</v>
      </c>
      <c r="J22">
        <v>823</v>
      </c>
      <c r="K22">
        <v>0</v>
      </c>
    </row>
    <row r="23" spans="1:11" x14ac:dyDescent="0.35">
      <c r="A23" t="s">
        <v>16</v>
      </c>
      <c r="B23">
        <v>1</v>
      </c>
      <c r="C23">
        <v>2.4950000000000001</v>
      </c>
      <c r="D23">
        <v>50</v>
      </c>
      <c r="E23">
        <v>49</v>
      </c>
      <c r="F23">
        <v>319</v>
      </c>
      <c r="G23">
        <v>191</v>
      </c>
      <c r="H23">
        <v>4122</v>
      </c>
      <c r="I23">
        <v>911.30612244897964</v>
      </c>
      <c r="J23">
        <v>605</v>
      </c>
      <c r="K23">
        <v>830.79790032655069</v>
      </c>
    </row>
    <row r="24" spans="1:11" x14ac:dyDescent="0.35">
      <c r="A24" t="s">
        <v>16</v>
      </c>
      <c r="B24">
        <v>2</v>
      </c>
      <c r="C24">
        <v>34.079000000000001</v>
      </c>
      <c r="D24">
        <v>3</v>
      </c>
      <c r="E24">
        <v>2</v>
      </c>
      <c r="F24">
        <v>1648</v>
      </c>
      <c r="G24">
        <v>1648</v>
      </c>
      <c r="H24">
        <v>23247</v>
      </c>
      <c r="I24">
        <v>12447.5</v>
      </c>
      <c r="J24">
        <v>12447.5</v>
      </c>
      <c r="K24">
        <v>10799.5</v>
      </c>
    </row>
    <row r="25" spans="1:11" x14ac:dyDescent="0.35">
      <c r="A25" t="s">
        <v>16</v>
      </c>
      <c r="B25">
        <v>3</v>
      </c>
    </row>
    <row r="26" spans="1:11" x14ac:dyDescent="0.35">
      <c r="A26" t="s">
        <v>17</v>
      </c>
      <c r="B26">
        <v>1</v>
      </c>
      <c r="C26">
        <v>0.86299999999999999</v>
      </c>
      <c r="D26">
        <v>146</v>
      </c>
      <c r="E26">
        <v>145</v>
      </c>
      <c r="F26">
        <v>187</v>
      </c>
      <c r="G26">
        <v>181</v>
      </c>
      <c r="H26">
        <v>1177</v>
      </c>
      <c r="I26">
        <v>315.3862068965517</v>
      </c>
      <c r="J26">
        <v>285</v>
      </c>
      <c r="K26">
        <v>128.67173878313153</v>
      </c>
    </row>
    <row r="27" spans="1:11" x14ac:dyDescent="0.35">
      <c r="A27" t="s">
        <v>17</v>
      </c>
      <c r="B27">
        <v>2</v>
      </c>
      <c r="C27">
        <v>10.377000000000001</v>
      </c>
      <c r="D27">
        <v>13</v>
      </c>
      <c r="E27">
        <v>12</v>
      </c>
      <c r="F27">
        <v>629</v>
      </c>
      <c r="G27">
        <v>629</v>
      </c>
      <c r="H27">
        <v>14055</v>
      </c>
      <c r="I27">
        <v>3790.1666666666665</v>
      </c>
      <c r="J27">
        <v>2120.5</v>
      </c>
      <c r="K27">
        <v>3721.3473105255243</v>
      </c>
    </row>
    <row r="28" spans="1:11" x14ac:dyDescent="0.35">
      <c r="A28" t="s">
        <v>17</v>
      </c>
      <c r="B28">
        <v>3</v>
      </c>
      <c r="C28">
        <v>14.14</v>
      </c>
      <c r="D28">
        <v>9</v>
      </c>
      <c r="E28">
        <v>8</v>
      </c>
      <c r="F28">
        <v>229</v>
      </c>
      <c r="G28">
        <v>229</v>
      </c>
      <c r="H28">
        <v>20752</v>
      </c>
      <c r="I28">
        <v>5164.5</v>
      </c>
      <c r="J28">
        <v>1953.5</v>
      </c>
      <c r="K28">
        <v>6948.1646677378048</v>
      </c>
    </row>
    <row r="29" spans="1:11" x14ac:dyDescent="0.35">
      <c r="A29" t="s">
        <v>18</v>
      </c>
      <c r="B29">
        <v>1</v>
      </c>
      <c r="C29">
        <v>2.8239999999999998</v>
      </c>
      <c r="D29">
        <v>44</v>
      </c>
      <c r="E29">
        <v>43</v>
      </c>
      <c r="F29">
        <v>1675</v>
      </c>
      <c r="G29">
        <v>193</v>
      </c>
      <c r="H29">
        <v>6012</v>
      </c>
      <c r="I29">
        <v>1031.3488372093022</v>
      </c>
      <c r="J29">
        <v>645</v>
      </c>
      <c r="K29">
        <v>1105.8847007422867</v>
      </c>
    </row>
    <row r="30" spans="1:11" x14ac:dyDescent="0.35">
      <c r="A30" t="s">
        <v>18</v>
      </c>
      <c r="B30">
        <v>2</v>
      </c>
      <c r="C30">
        <v>7.5069999999999997</v>
      </c>
      <c r="D30">
        <v>15</v>
      </c>
      <c r="E30">
        <v>14</v>
      </c>
      <c r="F30">
        <v>250</v>
      </c>
      <c r="G30">
        <v>250</v>
      </c>
      <c r="H30">
        <v>10897</v>
      </c>
      <c r="I30">
        <v>2742</v>
      </c>
      <c r="J30">
        <v>1628.5</v>
      </c>
      <c r="K30">
        <v>2805.478950706482</v>
      </c>
    </row>
    <row r="31" spans="1:11" x14ac:dyDescent="0.35">
      <c r="A31" t="s">
        <v>18</v>
      </c>
      <c r="B31">
        <v>3</v>
      </c>
      <c r="C31">
        <v>6.4119999999999999</v>
      </c>
      <c r="D31">
        <v>16</v>
      </c>
      <c r="E31">
        <v>15</v>
      </c>
      <c r="F31">
        <v>198</v>
      </c>
      <c r="G31">
        <v>198</v>
      </c>
      <c r="H31">
        <v>9239</v>
      </c>
      <c r="I31">
        <v>2342</v>
      </c>
      <c r="J31">
        <v>1806</v>
      </c>
      <c r="K31">
        <v>2329.0343349408427</v>
      </c>
    </row>
    <row r="32" spans="1:11" x14ac:dyDescent="0.35">
      <c r="A32" t="s">
        <v>19</v>
      </c>
      <c r="B32">
        <v>1</v>
      </c>
      <c r="C32">
        <v>2.673</v>
      </c>
      <c r="D32">
        <v>42</v>
      </c>
      <c r="E32">
        <v>41</v>
      </c>
      <c r="F32">
        <v>194</v>
      </c>
      <c r="G32">
        <v>194</v>
      </c>
      <c r="H32">
        <v>3854</v>
      </c>
      <c r="I32">
        <v>976.21951219512198</v>
      </c>
      <c r="J32">
        <v>669</v>
      </c>
      <c r="K32">
        <v>857.55223156562113</v>
      </c>
    </row>
    <row r="33" spans="1:11" x14ac:dyDescent="0.35">
      <c r="A33" t="s">
        <v>19</v>
      </c>
      <c r="B33">
        <v>2</v>
      </c>
      <c r="C33">
        <v>3.5830000000000002</v>
      </c>
      <c r="D33">
        <v>33</v>
      </c>
      <c r="E33">
        <v>32</v>
      </c>
      <c r="F33">
        <v>197</v>
      </c>
      <c r="G33">
        <v>197</v>
      </c>
      <c r="H33">
        <v>4829</v>
      </c>
      <c r="I33">
        <v>1308.71875</v>
      </c>
      <c r="J33">
        <v>899</v>
      </c>
      <c r="K33">
        <v>1115.6078285618282</v>
      </c>
    </row>
    <row r="34" spans="1:11" x14ac:dyDescent="0.35">
      <c r="A34" t="s">
        <v>19</v>
      </c>
      <c r="B34">
        <v>3</v>
      </c>
      <c r="C34">
        <v>11.747</v>
      </c>
      <c r="D34">
        <v>9</v>
      </c>
      <c r="E34">
        <v>8</v>
      </c>
      <c r="F34">
        <v>1280</v>
      </c>
      <c r="G34">
        <v>1280</v>
      </c>
      <c r="H34">
        <v>7452</v>
      </c>
      <c r="I34">
        <v>4290.75</v>
      </c>
      <c r="J34">
        <v>3709.5</v>
      </c>
      <c r="K34">
        <v>1894.0060552965506</v>
      </c>
    </row>
    <row r="35" spans="1:11" x14ac:dyDescent="0.35">
      <c r="A35" t="s">
        <v>20</v>
      </c>
      <c r="B35">
        <v>1</v>
      </c>
      <c r="C35">
        <v>3.0910000000000002</v>
      </c>
      <c r="D35">
        <v>39</v>
      </c>
      <c r="E35">
        <v>38</v>
      </c>
      <c r="F35">
        <v>246</v>
      </c>
      <c r="G35">
        <v>229</v>
      </c>
      <c r="H35">
        <v>3834</v>
      </c>
      <c r="I35">
        <v>1129.1315789473683</v>
      </c>
      <c r="J35">
        <v>855.5</v>
      </c>
      <c r="K35">
        <v>910.99942720684032</v>
      </c>
    </row>
    <row r="36" spans="1:11" x14ac:dyDescent="0.35">
      <c r="A36" t="s">
        <v>20</v>
      </c>
      <c r="B36">
        <v>2</v>
      </c>
      <c r="C36">
        <v>10.484</v>
      </c>
      <c r="D36">
        <v>8</v>
      </c>
      <c r="E36">
        <v>7</v>
      </c>
      <c r="F36">
        <v>1100</v>
      </c>
      <c r="G36">
        <v>1100</v>
      </c>
      <c r="H36">
        <v>8118</v>
      </c>
      <c r="I36">
        <v>3829.1428571428573</v>
      </c>
      <c r="J36">
        <v>4224</v>
      </c>
      <c r="K36">
        <v>2207.3885947343447</v>
      </c>
    </row>
    <row r="37" spans="1:11" x14ac:dyDescent="0.35">
      <c r="A37" t="s">
        <v>20</v>
      </c>
      <c r="B37">
        <v>3</v>
      </c>
      <c r="C37">
        <v>11.847</v>
      </c>
      <c r="D37">
        <v>10</v>
      </c>
      <c r="E37">
        <v>9</v>
      </c>
      <c r="F37">
        <v>509</v>
      </c>
      <c r="G37">
        <v>509</v>
      </c>
      <c r="H37">
        <v>10759</v>
      </c>
      <c r="I37">
        <v>4327.1111111111113</v>
      </c>
      <c r="J37">
        <v>4420</v>
      </c>
      <c r="K37">
        <v>2810.9748188304293</v>
      </c>
    </row>
    <row r="38" spans="1:11" x14ac:dyDescent="0.35">
      <c r="A38" t="s">
        <v>21</v>
      </c>
      <c r="B38">
        <v>1</v>
      </c>
      <c r="C38">
        <v>2.3180000000000001</v>
      </c>
      <c r="D38">
        <v>53</v>
      </c>
      <c r="E38">
        <v>52</v>
      </c>
      <c r="F38">
        <v>263</v>
      </c>
      <c r="G38">
        <v>182</v>
      </c>
      <c r="H38">
        <v>3866</v>
      </c>
      <c r="I38">
        <v>846.63461538461536</v>
      </c>
      <c r="J38">
        <v>581</v>
      </c>
      <c r="K38">
        <v>747.03248896618004</v>
      </c>
    </row>
    <row r="39" spans="1:11" x14ac:dyDescent="0.35">
      <c r="A39" t="s">
        <v>21</v>
      </c>
      <c r="B39">
        <v>2</v>
      </c>
    </row>
    <row r="40" spans="1:11" x14ac:dyDescent="0.35">
      <c r="A40" t="s">
        <v>21</v>
      </c>
      <c r="B40">
        <v>3</v>
      </c>
    </row>
    <row r="41" spans="1:11" x14ac:dyDescent="0.35">
      <c r="A41" t="s">
        <v>22</v>
      </c>
      <c r="B41">
        <v>1</v>
      </c>
      <c r="C41">
        <v>3.67</v>
      </c>
      <c r="D41">
        <v>35</v>
      </c>
      <c r="E41">
        <v>34</v>
      </c>
      <c r="F41">
        <v>214</v>
      </c>
      <c r="G41">
        <v>214</v>
      </c>
      <c r="H41">
        <v>4450</v>
      </c>
      <c r="I41">
        <v>1340.5294117647059</v>
      </c>
      <c r="J41">
        <v>1132</v>
      </c>
      <c r="K41">
        <v>998.86185923821847</v>
      </c>
    </row>
    <row r="42" spans="1:11" x14ac:dyDescent="0.35">
      <c r="A42" t="s">
        <v>23</v>
      </c>
      <c r="B42">
        <v>1</v>
      </c>
      <c r="C42">
        <v>2.8250000000000002</v>
      </c>
      <c r="D42">
        <v>45</v>
      </c>
      <c r="E42">
        <v>44</v>
      </c>
      <c r="F42">
        <v>320</v>
      </c>
      <c r="G42">
        <v>186</v>
      </c>
      <c r="H42">
        <v>3839</v>
      </c>
      <c r="I42">
        <v>1031.909090909091</v>
      </c>
      <c r="J42">
        <v>804</v>
      </c>
      <c r="K42">
        <v>830.03835667619546</v>
      </c>
    </row>
    <row r="43" spans="1:11" x14ac:dyDescent="0.35">
      <c r="A43" t="s">
        <v>23</v>
      </c>
      <c r="B43">
        <v>2</v>
      </c>
    </row>
    <row r="44" spans="1:11" x14ac:dyDescent="0.35">
      <c r="A44" t="s">
        <v>24</v>
      </c>
      <c r="B44">
        <v>1</v>
      </c>
      <c r="C44">
        <v>4.2649999999999997</v>
      </c>
      <c r="D44">
        <v>22</v>
      </c>
      <c r="E44">
        <v>21</v>
      </c>
      <c r="F44">
        <v>220</v>
      </c>
      <c r="G44">
        <v>220</v>
      </c>
      <c r="H44">
        <v>8071</v>
      </c>
      <c r="I44">
        <v>1557.7619047619048</v>
      </c>
      <c r="J44">
        <v>1014</v>
      </c>
      <c r="K44">
        <v>1753.3052570111797</v>
      </c>
    </row>
    <row r="45" spans="1:11" x14ac:dyDescent="0.35">
      <c r="A45" t="s">
        <v>24</v>
      </c>
      <c r="B45">
        <v>2</v>
      </c>
      <c r="D45">
        <v>0</v>
      </c>
    </row>
    <row r="46" spans="1:11" x14ac:dyDescent="0.35">
      <c r="A46" t="s">
        <v>25</v>
      </c>
      <c r="B46">
        <v>1</v>
      </c>
      <c r="C46">
        <v>1.0009999999999999</v>
      </c>
      <c r="D46">
        <v>123</v>
      </c>
      <c r="E46">
        <v>122</v>
      </c>
      <c r="F46">
        <v>309</v>
      </c>
      <c r="G46">
        <v>191</v>
      </c>
      <c r="H46">
        <v>1112</v>
      </c>
      <c r="I46">
        <v>365.79508196721309</v>
      </c>
      <c r="J46">
        <v>322.5</v>
      </c>
      <c r="K46">
        <v>164.47770981197812</v>
      </c>
    </row>
    <row r="47" spans="1:11" x14ac:dyDescent="0.35">
      <c r="A47" t="s">
        <v>25</v>
      </c>
      <c r="B47">
        <v>2</v>
      </c>
      <c r="C47">
        <v>2.4169999999999998</v>
      </c>
      <c r="D47">
        <v>38</v>
      </c>
      <c r="E47">
        <v>37</v>
      </c>
      <c r="F47">
        <v>191</v>
      </c>
      <c r="G47">
        <v>191</v>
      </c>
      <c r="H47">
        <v>3184</v>
      </c>
      <c r="I47">
        <v>882.81081081081084</v>
      </c>
      <c r="J47">
        <v>675</v>
      </c>
      <c r="K47">
        <v>719.61426746360473</v>
      </c>
    </row>
    <row r="48" spans="1:11" x14ac:dyDescent="0.35">
      <c r="A48" t="s">
        <v>25</v>
      </c>
      <c r="B48">
        <v>3</v>
      </c>
      <c r="C48">
        <v>3.0259999999999998</v>
      </c>
      <c r="D48">
        <v>7</v>
      </c>
      <c r="E48">
        <v>6</v>
      </c>
      <c r="F48">
        <v>229</v>
      </c>
      <c r="G48">
        <v>229</v>
      </c>
      <c r="H48">
        <v>3380</v>
      </c>
      <c r="I48">
        <v>1105.3333333333333</v>
      </c>
      <c r="J48">
        <v>740.5</v>
      </c>
      <c r="K48">
        <v>1044.5848723562656</v>
      </c>
    </row>
    <row r="49" spans="1:11" x14ac:dyDescent="0.35">
      <c r="A49" t="s">
        <v>26</v>
      </c>
      <c r="B49">
        <v>1</v>
      </c>
      <c r="C49">
        <v>4.7329999999999997</v>
      </c>
      <c r="D49">
        <v>23</v>
      </c>
      <c r="E49">
        <v>22</v>
      </c>
      <c r="F49">
        <v>926</v>
      </c>
      <c r="G49">
        <v>302</v>
      </c>
      <c r="H49">
        <v>7639</v>
      </c>
      <c r="I49">
        <v>1728.8636363636363</v>
      </c>
      <c r="J49">
        <v>1153</v>
      </c>
      <c r="K49">
        <v>1721.1542188430769</v>
      </c>
    </row>
    <row r="50" spans="1:11" x14ac:dyDescent="0.35">
      <c r="A50" t="s">
        <v>26</v>
      </c>
      <c r="B50">
        <v>2</v>
      </c>
      <c r="C50">
        <v>2.105</v>
      </c>
      <c r="D50">
        <v>26</v>
      </c>
      <c r="E50">
        <v>25</v>
      </c>
      <c r="F50">
        <v>198</v>
      </c>
      <c r="G50">
        <v>198</v>
      </c>
      <c r="H50">
        <v>1915</v>
      </c>
      <c r="I50">
        <v>768.96</v>
      </c>
      <c r="J50">
        <v>690</v>
      </c>
      <c r="K50">
        <v>483.78304889692026</v>
      </c>
    </row>
    <row r="51" spans="1:11" x14ac:dyDescent="0.35">
      <c r="A51" t="s">
        <v>26</v>
      </c>
      <c r="B51">
        <v>3</v>
      </c>
      <c r="C51">
        <v>4.6109999999999998</v>
      </c>
      <c r="D51">
        <v>25</v>
      </c>
      <c r="E51">
        <v>24</v>
      </c>
      <c r="F51">
        <v>197</v>
      </c>
      <c r="G51">
        <v>197</v>
      </c>
      <c r="H51">
        <v>12472</v>
      </c>
      <c r="I51">
        <v>1684.0833333333333</v>
      </c>
      <c r="J51">
        <v>922</v>
      </c>
      <c r="K51">
        <v>2479.9733687526204</v>
      </c>
    </row>
    <row r="52" spans="1:11" x14ac:dyDescent="0.35">
      <c r="A52" t="s">
        <v>27</v>
      </c>
      <c r="B52">
        <v>1</v>
      </c>
      <c r="C52">
        <v>1.296</v>
      </c>
      <c r="D52">
        <v>93</v>
      </c>
      <c r="E52">
        <v>92</v>
      </c>
      <c r="F52">
        <v>239</v>
      </c>
      <c r="G52">
        <v>186</v>
      </c>
      <c r="H52">
        <v>2126</v>
      </c>
      <c r="I52">
        <v>473.43478260869563</v>
      </c>
      <c r="J52">
        <v>388.5</v>
      </c>
      <c r="K52">
        <v>295.79470349595022</v>
      </c>
    </row>
    <row r="53" spans="1:11" x14ac:dyDescent="0.35">
      <c r="A53" t="s">
        <v>27</v>
      </c>
      <c r="B53">
        <v>2</v>
      </c>
      <c r="D53">
        <v>0</v>
      </c>
    </row>
    <row r="54" spans="1:11" x14ac:dyDescent="0.35">
      <c r="A54" t="s">
        <v>27</v>
      </c>
      <c r="B54">
        <v>3</v>
      </c>
      <c r="D54">
        <v>1</v>
      </c>
    </row>
    <row r="55" spans="1:11" x14ac:dyDescent="0.35">
      <c r="A55" t="s">
        <v>28</v>
      </c>
      <c r="B55">
        <v>1</v>
      </c>
      <c r="C55">
        <v>2.7949999999999999</v>
      </c>
      <c r="D55">
        <v>41</v>
      </c>
      <c r="E55">
        <v>40</v>
      </c>
      <c r="F55">
        <v>186</v>
      </c>
      <c r="G55">
        <v>186</v>
      </c>
      <c r="H55">
        <v>5961</v>
      </c>
      <c r="I55">
        <v>1020.85</v>
      </c>
      <c r="J55">
        <v>595.5</v>
      </c>
      <c r="K55">
        <v>1120.9185195633088</v>
      </c>
    </row>
    <row r="56" spans="1:11" x14ac:dyDescent="0.35">
      <c r="A56" t="s">
        <v>28</v>
      </c>
      <c r="B56">
        <v>2</v>
      </c>
      <c r="C56">
        <v>15.396000000000001</v>
      </c>
      <c r="D56">
        <v>8</v>
      </c>
      <c r="E56">
        <v>7</v>
      </c>
      <c r="F56">
        <v>661</v>
      </c>
      <c r="G56">
        <v>661</v>
      </c>
      <c r="H56">
        <v>15755</v>
      </c>
      <c r="I56">
        <v>5623.2857142857147</v>
      </c>
      <c r="J56">
        <v>2496</v>
      </c>
      <c r="K56">
        <v>5112.5242776730083</v>
      </c>
    </row>
    <row r="57" spans="1:11" x14ac:dyDescent="0.35">
      <c r="A57" t="s">
        <v>28</v>
      </c>
      <c r="B57">
        <v>3</v>
      </c>
      <c r="D57">
        <v>0</v>
      </c>
    </row>
    <row r="58" spans="1:11" x14ac:dyDescent="0.35">
      <c r="A58" t="s">
        <v>29</v>
      </c>
      <c r="B58">
        <v>1</v>
      </c>
      <c r="C58">
        <v>0.88300000000000001</v>
      </c>
      <c r="D58">
        <v>144</v>
      </c>
      <c r="E58">
        <v>143</v>
      </c>
      <c r="F58">
        <v>188</v>
      </c>
      <c r="G58">
        <v>181</v>
      </c>
      <c r="H58">
        <v>689</v>
      </c>
      <c r="I58">
        <v>322.42657342657344</v>
      </c>
      <c r="J58">
        <v>303</v>
      </c>
      <c r="K58">
        <v>102.55822085275452</v>
      </c>
    </row>
    <row r="59" spans="1:11" x14ac:dyDescent="0.35">
      <c r="A59" t="s">
        <v>29</v>
      </c>
      <c r="B59">
        <v>2</v>
      </c>
      <c r="C59">
        <v>29.321999999999999</v>
      </c>
      <c r="D59">
        <v>2</v>
      </c>
      <c r="E59">
        <v>1</v>
      </c>
      <c r="F59">
        <v>10710</v>
      </c>
      <c r="G59">
        <v>10710</v>
      </c>
      <c r="H59">
        <v>10710</v>
      </c>
      <c r="I59">
        <v>10710</v>
      </c>
      <c r="J59">
        <v>10710</v>
      </c>
      <c r="K59">
        <v>0</v>
      </c>
    </row>
    <row r="60" spans="1:11" x14ac:dyDescent="0.35">
      <c r="A60" t="s">
        <v>29</v>
      </c>
      <c r="B60">
        <v>3</v>
      </c>
      <c r="C60">
        <v>6.3330000000000002</v>
      </c>
      <c r="D60">
        <v>10</v>
      </c>
      <c r="E60">
        <v>9</v>
      </c>
      <c r="F60">
        <v>294</v>
      </c>
      <c r="G60">
        <v>294</v>
      </c>
      <c r="H60">
        <v>10017</v>
      </c>
      <c r="I60">
        <v>2313.1111111111113</v>
      </c>
      <c r="J60">
        <v>1075</v>
      </c>
      <c r="K60">
        <v>2992.387320609284</v>
      </c>
    </row>
    <row r="61" spans="1:11" x14ac:dyDescent="0.35">
      <c r="A61" t="s">
        <v>30</v>
      </c>
      <c r="B61">
        <v>1</v>
      </c>
      <c r="C61">
        <v>1.8759999999999999</v>
      </c>
      <c r="D61">
        <v>65</v>
      </c>
      <c r="E61">
        <v>64</v>
      </c>
      <c r="F61">
        <v>646</v>
      </c>
      <c r="G61">
        <v>185</v>
      </c>
      <c r="H61">
        <v>5050</v>
      </c>
      <c r="I61">
        <v>685.265625</v>
      </c>
      <c r="J61">
        <v>472</v>
      </c>
      <c r="K61">
        <v>800.14335126173444</v>
      </c>
    </row>
    <row r="62" spans="1:11" x14ac:dyDescent="0.35">
      <c r="A62" t="s">
        <v>30</v>
      </c>
      <c r="B62">
        <v>2</v>
      </c>
    </row>
    <row r="63" spans="1:11" x14ac:dyDescent="0.35">
      <c r="A63" t="s">
        <v>30</v>
      </c>
      <c r="B63">
        <v>3</v>
      </c>
    </row>
    <row r="64" spans="1:11" x14ac:dyDescent="0.35">
      <c r="A64" t="s">
        <v>31</v>
      </c>
      <c r="B64">
        <v>1</v>
      </c>
      <c r="C64">
        <v>2.331</v>
      </c>
      <c r="D64">
        <v>44</v>
      </c>
      <c r="E64">
        <v>43</v>
      </c>
      <c r="F64">
        <v>353</v>
      </c>
      <c r="G64">
        <v>183</v>
      </c>
      <c r="H64">
        <v>3741</v>
      </c>
      <c r="I64">
        <v>851.51162790697674</v>
      </c>
      <c r="J64">
        <v>572</v>
      </c>
      <c r="K64">
        <v>712.80906384016953</v>
      </c>
    </row>
    <row r="65" spans="1:11" x14ac:dyDescent="0.35">
      <c r="A65" t="s">
        <v>31</v>
      </c>
      <c r="B65">
        <v>2</v>
      </c>
      <c r="C65">
        <v>15.298999999999999</v>
      </c>
      <c r="D65">
        <v>7</v>
      </c>
      <c r="E65">
        <v>6</v>
      </c>
      <c r="F65">
        <v>391</v>
      </c>
      <c r="G65">
        <v>391</v>
      </c>
      <c r="H65">
        <v>14962</v>
      </c>
      <c r="I65">
        <v>5588</v>
      </c>
      <c r="J65">
        <v>4306</v>
      </c>
      <c r="K65">
        <v>5252.5412896996822</v>
      </c>
    </row>
    <row r="66" spans="1:11" x14ac:dyDescent="0.35">
      <c r="A66" t="s">
        <v>31</v>
      </c>
      <c r="B66">
        <v>3</v>
      </c>
      <c r="C66">
        <v>4.423</v>
      </c>
      <c r="D66">
        <v>21</v>
      </c>
      <c r="E66">
        <v>20</v>
      </c>
      <c r="F66">
        <v>270</v>
      </c>
      <c r="G66">
        <v>270</v>
      </c>
      <c r="H66">
        <v>4391</v>
      </c>
      <c r="I66">
        <v>1615.5</v>
      </c>
      <c r="J66">
        <v>1478</v>
      </c>
      <c r="K66">
        <v>1039.5475217612709</v>
      </c>
    </row>
    <row r="67" spans="1:11" x14ac:dyDescent="0.35">
      <c r="A67" t="s">
        <v>32</v>
      </c>
      <c r="B67">
        <v>1</v>
      </c>
      <c r="C67">
        <v>0.98799999999999999</v>
      </c>
      <c r="D67">
        <v>118</v>
      </c>
      <c r="E67">
        <v>117</v>
      </c>
      <c r="F67">
        <v>187</v>
      </c>
      <c r="G67">
        <v>182</v>
      </c>
      <c r="H67">
        <v>921</v>
      </c>
      <c r="I67">
        <v>360.88888888888891</v>
      </c>
      <c r="J67">
        <v>323</v>
      </c>
      <c r="K67">
        <v>152.10189891753814</v>
      </c>
    </row>
    <row r="68" spans="1:11" x14ac:dyDescent="0.35">
      <c r="A68" t="s">
        <v>32</v>
      </c>
      <c r="B68">
        <v>2</v>
      </c>
      <c r="C68">
        <v>2.9079999999999999</v>
      </c>
      <c r="D68">
        <v>38</v>
      </c>
      <c r="E68">
        <v>37</v>
      </c>
      <c r="F68">
        <v>591</v>
      </c>
      <c r="G68">
        <v>181</v>
      </c>
      <c r="H68">
        <v>3550</v>
      </c>
      <c r="I68">
        <v>1062.1891891891892</v>
      </c>
      <c r="J68">
        <v>957</v>
      </c>
      <c r="K68">
        <v>771.85549823357269</v>
      </c>
    </row>
    <row r="69" spans="1:11" x14ac:dyDescent="0.35">
      <c r="A69" t="s">
        <v>32</v>
      </c>
      <c r="B69">
        <v>3</v>
      </c>
    </row>
    <row r="70" spans="1:11" x14ac:dyDescent="0.35">
      <c r="A70" t="s">
        <v>34</v>
      </c>
      <c r="B70">
        <v>1</v>
      </c>
      <c r="C70">
        <v>27.683</v>
      </c>
      <c r="D70">
        <v>5</v>
      </c>
      <c r="E70">
        <v>4</v>
      </c>
      <c r="F70">
        <v>4952</v>
      </c>
      <c r="G70">
        <v>4952</v>
      </c>
      <c r="H70">
        <v>23164</v>
      </c>
      <c r="I70">
        <v>10111.25</v>
      </c>
      <c r="J70">
        <v>6164.5</v>
      </c>
      <c r="K70">
        <v>7556.2215880359145</v>
      </c>
    </row>
    <row r="71" spans="1:11" x14ac:dyDescent="0.35">
      <c r="A71" t="s">
        <v>34</v>
      </c>
      <c r="B71">
        <v>2</v>
      </c>
      <c r="C71">
        <v>20.074999999999999</v>
      </c>
      <c r="D71">
        <v>4</v>
      </c>
      <c r="E71">
        <v>3</v>
      </c>
      <c r="F71">
        <v>766</v>
      </c>
      <c r="G71">
        <v>766</v>
      </c>
      <c r="H71">
        <v>11703</v>
      </c>
      <c r="I71">
        <v>7332.333333333333</v>
      </c>
      <c r="J71">
        <v>9528</v>
      </c>
      <c r="K71">
        <v>4727.2406562626174</v>
      </c>
    </row>
    <row r="72" spans="1:11" x14ac:dyDescent="0.35">
      <c r="A72" t="s">
        <v>34</v>
      </c>
      <c r="B72">
        <v>3</v>
      </c>
      <c r="D72">
        <v>0</v>
      </c>
    </row>
    <row r="73" spans="1:11" x14ac:dyDescent="0.35">
      <c r="A73" t="s">
        <v>35</v>
      </c>
      <c r="B73">
        <v>1</v>
      </c>
      <c r="C73">
        <v>2.875</v>
      </c>
      <c r="D73">
        <v>2</v>
      </c>
      <c r="E73">
        <v>1</v>
      </c>
      <c r="F73">
        <v>1050</v>
      </c>
      <c r="G73">
        <v>1050</v>
      </c>
      <c r="H73">
        <v>1050</v>
      </c>
      <c r="I73">
        <v>1050</v>
      </c>
      <c r="J73">
        <v>1050</v>
      </c>
      <c r="K73">
        <v>0</v>
      </c>
    </row>
    <row r="74" spans="1:11" x14ac:dyDescent="0.35">
      <c r="A74" t="s">
        <v>35</v>
      </c>
      <c r="B74">
        <v>2</v>
      </c>
      <c r="C74">
        <v>5.5979999999999999</v>
      </c>
      <c r="D74">
        <v>3</v>
      </c>
      <c r="E74">
        <v>2</v>
      </c>
      <c r="F74">
        <v>857</v>
      </c>
      <c r="G74">
        <v>857</v>
      </c>
      <c r="H74">
        <v>3232</v>
      </c>
      <c r="I74">
        <v>2044.5</v>
      </c>
      <c r="J74">
        <v>2044.5</v>
      </c>
      <c r="K74">
        <v>1187.5</v>
      </c>
    </row>
    <row r="75" spans="1:11" x14ac:dyDescent="0.35">
      <c r="A75" t="s">
        <v>35</v>
      </c>
      <c r="B75">
        <v>3</v>
      </c>
    </row>
    <row r="76" spans="1:11" x14ac:dyDescent="0.35">
      <c r="A76" t="s">
        <v>36</v>
      </c>
      <c r="B76">
        <v>1</v>
      </c>
      <c r="D76">
        <v>0</v>
      </c>
    </row>
    <row r="77" spans="1:11" x14ac:dyDescent="0.35">
      <c r="A77" t="s">
        <v>36</v>
      </c>
      <c r="B77">
        <v>2</v>
      </c>
      <c r="D77">
        <v>1</v>
      </c>
    </row>
    <row r="78" spans="1:11" x14ac:dyDescent="0.35">
      <c r="A78" t="s">
        <v>36</v>
      </c>
      <c r="B78">
        <v>3</v>
      </c>
      <c r="D78">
        <v>0</v>
      </c>
    </row>
    <row r="79" spans="1:11" x14ac:dyDescent="0.35">
      <c r="A79" t="s">
        <v>37</v>
      </c>
      <c r="B79">
        <v>1</v>
      </c>
      <c r="C79">
        <v>12.679</v>
      </c>
      <c r="D79">
        <v>8</v>
      </c>
      <c r="E79">
        <v>7</v>
      </c>
      <c r="F79">
        <v>287</v>
      </c>
      <c r="G79">
        <v>287</v>
      </c>
      <c r="H79">
        <v>19610</v>
      </c>
      <c r="I79">
        <v>4631</v>
      </c>
      <c r="J79">
        <v>2348</v>
      </c>
      <c r="K79">
        <v>6260.9290730004968</v>
      </c>
    </row>
    <row r="80" spans="1:11" x14ac:dyDescent="0.35">
      <c r="A80" t="s">
        <v>37</v>
      </c>
      <c r="B80">
        <v>2</v>
      </c>
      <c r="D80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75DEB-4C14-4DA2-BA5B-98879D66AD0E}">
  <dimension ref="A1:K80"/>
  <sheetViews>
    <sheetView topLeftCell="A53" workbookViewId="0"/>
  </sheetViews>
  <sheetFormatPr defaultRowHeight="14.5" x14ac:dyDescent="0.35"/>
  <cols>
    <col min="1" max="1" width="16.6328125" bestFit="1" customWidth="1"/>
    <col min="2" max="2" width="11.26953125" bestFit="1" customWidth="1"/>
    <col min="3" max="3" width="10.54296875" bestFit="1" customWidth="1"/>
    <col min="4" max="4" width="18.7265625" bestFit="1" customWidth="1"/>
    <col min="5" max="5" width="11.90625" bestFit="1" customWidth="1"/>
    <col min="6" max="6" width="13.36328125" bestFit="1" customWidth="1"/>
    <col min="7" max="7" width="10.26953125" bestFit="1" customWidth="1"/>
    <col min="8" max="8" width="10.6328125" bestFit="1" customWidth="1"/>
    <col min="9" max="9" width="11.81640625" bestFit="1" customWidth="1"/>
    <col min="10" max="10" width="13.36328125" bestFit="1" customWidth="1"/>
    <col min="11" max="11" width="11.81640625" bestFit="1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38</v>
      </c>
      <c r="F1" t="s">
        <v>4</v>
      </c>
      <c r="G1" t="s">
        <v>39</v>
      </c>
      <c r="H1" t="s">
        <v>40</v>
      </c>
      <c r="I1" t="s">
        <v>5</v>
      </c>
      <c r="J1" t="s">
        <v>6</v>
      </c>
      <c r="K1" t="s">
        <v>41</v>
      </c>
    </row>
    <row r="2" spans="1:11" x14ac:dyDescent="0.35">
      <c r="A2" t="s">
        <v>9</v>
      </c>
      <c r="B2">
        <v>1</v>
      </c>
      <c r="C2">
        <v>1.794</v>
      </c>
      <c r="D2">
        <v>71</v>
      </c>
      <c r="E2">
        <v>70</v>
      </c>
      <c r="F2">
        <v>195</v>
      </c>
      <c r="G2">
        <v>195</v>
      </c>
      <c r="H2">
        <v>2086</v>
      </c>
      <c r="I2">
        <v>655.24285714285713</v>
      </c>
      <c r="J2">
        <v>474</v>
      </c>
      <c r="K2">
        <v>471.84060370650855</v>
      </c>
    </row>
    <row r="3" spans="1:11" x14ac:dyDescent="0.35">
      <c r="A3" t="s">
        <v>9</v>
      </c>
      <c r="B3">
        <v>2</v>
      </c>
      <c r="C3">
        <v>5.5970000000000004</v>
      </c>
      <c r="D3">
        <v>23</v>
      </c>
      <c r="E3">
        <v>22</v>
      </c>
      <c r="F3">
        <v>185</v>
      </c>
      <c r="G3">
        <v>185</v>
      </c>
      <c r="H3">
        <v>9216</v>
      </c>
      <c r="I3">
        <v>2044.1363636363637</v>
      </c>
      <c r="J3">
        <v>1207</v>
      </c>
      <c r="K3">
        <v>2169.7902976901737</v>
      </c>
    </row>
    <row r="4" spans="1:11" x14ac:dyDescent="0.35">
      <c r="A4" t="s">
        <v>9</v>
      </c>
      <c r="B4">
        <v>3</v>
      </c>
      <c r="D4">
        <v>1</v>
      </c>
    </row>
    <row r="5" spans="1:11" x14ac:dyDescent="0.35">
      <c r="A5" t="s">
        <v>10</v>
      </c>
      <c r="B5">
        <v>1</v>
      </c>
      <c r="C5">
        <v>1.8120000000000001</v>
      </c>
      <c r="D5">
        <v>69</v>
      </c>
      <c r="E5">
        <v>68</v>
      </c>
      <c r="F5">
        <v>388</v>
      </c>
      <c r="G5">
        <v>204</v>
      </c>
      <c r="H5">
        <v>2696</v>
      </c>
      <c r="I5">
        <v>661.85294117647061</v>
      </c>
      <c r="J5">
        <v>470.5</v>
      </c>
      <c r="K5">
        <v>529.49105043555687</v>
      </c>
    </row>
    <row r="6" spans="1:11" x14ac:dyDescent="0.35">
      <c r="A6" t="s">
        <v>10</v>
      </c>
      <c r="B6">
        <v>2</v>
      </c>
      <c r="D6">
        <v>0</v>
      </c>
    </row>
    <row r="7" spans="1:11" x14ac:dyDescent="0.35">
      <c r="A7" t="s">
        <v>10</v>
      </c>
      <c r="B7">
        <v>3</v>
      </c>
      <c r="D7">
        <v>1</v>
      </c>
    </row>
    <row r="8" spans="1:11" x14ac:dyDescent="0.35">
      <c r="A8" t="s">
        <v>11</v>
      </c>
      <c r="B8">
        <v>1</v>
      </c>
      <c r="C8">
        <v>1.976</v>
      </c>
      <c r="D8">
        <v>64</v>
      </c>
      <c r="E8">
        <v>63</v>
      </c>
      <c r="F8">
        <v>217</v>
      </c>
      <c r="G8">
        <v>182</v>
      </c>
      <c r="H8">
        <v>3964</v>
      </c>
      <c r="I8">
        <v>721.68253968253964</v>
      </c>
      <c r="J8">
        <v>578</v>
      </c>
      <c r="K8">
        <v>576.40086980417573</v>
      </c>
    </row>
    <row r="9" spans="1:11" x14ac:dyDescent="0.35">
      <c r="A9" t="s">
        <v>11</v>
      </c>
      <c r="B9">
        <v>2</v>
      </c>
      <c r="D9">
        <v>1</v>
      </c>
    </row>
    <row r="10" spans="1:11" x14ac:dyDescent="0.35">
      <c r="A10" t="s">
        <v>11</v>
      </c>
      <c r="B10">
        <v>3</v>
      </c>
    </row>
    <row r="11" spans="1:11" x14ac:dyDescent="0.35">
      <c r="A11" t="s">
        <v>12</v>
      </c>
      <c r="B11">
        <v>1</v>
      </c>
      <c r="C11">
        <v>3.734</v>
      </c>
      <c r="D11">
        <v>34</v>
      </c>
      <c r="E11">
        <v>33</v>
      </c>
      <c r="F11">
        <v>238</v>
      </c>
      <c r="G11">
        <v>238</v>
      </c>
      <c r="H11">
        <v>5892</v>
      </c>
      <c r="I11">
        <v>1363.7878787878788</v>
      </c>
      <c r="J11">
        <v>921</v>
      </c>
      <c r="K11">
        <v>1262.4788208862792</v>
      </c>
    </row>
    <row r="12" spans="1:11" x14ac:dyDescent="0.35">
      <c r="A12" t="s">
        <v>12</v>
      </c>
      <c r="B12">
        <v>2</v>
      </c>
    </row>
    <row r="13" spans="1:11" x14ac:dyDescent="0.35">
      <c r="A13" t="s">
        <v>12</v>
      </c>
      <c r="B13">
        <v>3</v>
      </c>
    </row>
    <row r="14" spans="1:11" x14ac:dyDescent="0.35">
      <c r="A14" t="s">
        <v>13</v>
      </c>
      <c r="B14">
        <v>1</v>
      </c>
      <c r="C14">
        <v>2.6549999999999998</v>
      </c>
      <c r="D14">
        <v>48</v>
      </c>
      <c r="E14">
        <v>47</v>
      </c>
      <c r="F14">
        <v>205</v>
      </c>
      <c r="G14">
        <v>205</v>
      </c>
      <c r="H14">
        <v>2774</v>
      </c>
      <c r="I14">
        <v>969.59574468085111</v>
      </c>
      <c r="J14">
        <v>677</v>
      </c>
      <c r="K14">
        <v>689.9299890344862</v>
      </c>
    </row>
    <row r="15" spans="1:11" x14ac:dyDescent="0.35">
      <c r="A15" t="s">
        <v>13</v>
      </c>
      <c r="B15">
        <v>2</v>
      </c>
      <c r="C15">
        <v>14.829000000000001</v>
      </c>
      <c r="D15">
        <v>9</v>
      </c>
      <c r="E15">
        <v>8</v>
      </c>
      <c r="F15">
        <v>252</v>
      </c>
      <c r="G15">
        <v>252</v>
      </c>
      <c r="H15">
        <v>21110</v>
      </c>
      <c r="I15">
        <v>5416.375</v>
      </c>
      <c r="J15">
        <v>3937</v>
      </c>
      <c r="K15">
        <v>6390.5818384850527</v>
      </c>
    </row>
    <row r="16" spans="1:11" x14ac:dyDescent="0.35">
      <c r="A16" t="s">
        <v>13</v>
      </c>
      <c r="B16">
        <v>3</v>
      </c>
      <c r="C16">
        <v>22.318999999999999</v>
      </c>
      <c r="D16">
        <v>4</v>
      </c>
      <c r="E16">
        <v>3</v>
      </c>
      <c r="F16">
        <v>2666</v>
      </c>
      <c r="G16">
        <v>2666</v>
      </c>
      <c r="H16">
        <v>14587</v>
      </c>
      <c r="I16">
        <v>8152</v>
      </c>
      <c r="J16">
        <v>7203</v>
      </c>
      <c r="K16">
        <v>4912.773215472771</v>
      </c>
    </row>
    <row r="17" spans="1:11" x14ac:dyDescent="0.35">
      <c r="A17" t="s">
        <v>14</v>
      </c>
      <c r="B17">
        <v>1</v>
      </c>
      <c r="C17">
        <v>2.9209999999999998</v>
      </c>
      <c r="D17">
        <v>43</v>
      </c>
      <c r="E17">
        <v>42</v>
      </c>
      <c r="F17">
        <v>759</v>
      </c>
      <c r="G17">
        <v>192</v>
      </c>
      <c r="H17">
        <v>3823</v>
      </c>
      <c r="I17">
        <v>1066.7142857142858</v>
      </c>
      <c r="J17">
        <v>815</v>
      </c>
      <c r="K17">
        <v>817.52930006366432</v>
      </c>
    </row>
    <row r="18" spans="1:11" x14ac:dyDescent="0.35">
      <c r="A18" t="s">
        <v>14</v>
      </c>
      <c r="B18">
        <v>2</v>
      </c>
      <c r="C18">
        <v>13.667</v>
      </c>
      <c r="D18">
        <v>9</v>
      </c>
      <c r="E18">
        <v>8</v>
      </c>
      <c r="F18">
        <v>554</v>
      </c>
      <c r="G18">
        <v>554</v>
      </c>
      <c r="H18">
        <v>20429</v>
      </c>
      <c r="I18">
        <v>4991.75</v>
      </c>
      <c r="J18">
        <v>2676.5</v>
      </c>
      <c r="K18">
        <v>6180.1021785646881</v>
      </c>
    </row>
    <row r="19" spans="1:11" x14ac:dyDescent="0.35">
      <c r="A19" t="s">
        <v>14</v>
      </c>
      <c r="B19">
        <v>3</v>
      </c>
      <c r="D19">
        <v>0</v>
      </c>
    </row>
    <row r="20" spans="1:11" x14ac:dyDescent="0.35">
      <c r="A20" t="s">
        <v>15</v>
      </c>
      <c r="B20">
        <v>1</v>
      </c>
      <c r="C20">
        <v>41.713000000000001</v>
      </c>
      <c r="D20">
        <v>3</v>
      </c>
      <c r="E20">
        <v>2</v>
      </c>
      <c r="F20">
        <v>15004</v>
      </c>
      <c r="G20">
        <v>15004</v>
      </c>
      <c r="H20">
        <v>15467</v>
      </c>
      <c r="I20">
        <v>15235.5</v>
      </c>
      <c r="J20">
        <v>15235.5</v>
      </c>
      <c r="K20">
        <v>231.5</v>
      </c>
    </row>
    <row r="21" spans="1:11" x14ac:dyDescent="0.35">
      <c r="A21" t="s">
        <v>15</v>
      </c>
      <c r="B21">
        <v>2</v>
      </c>
      <c r="D21">
        <v>0</v>
      </c>
    </row>
    <row r="22" spans="1:11" x14ac:dyDescent="0.35">
      <c r="A22" t="s">
        <v>15</v>
      </c>
      <c r="B22">
        <v>3</v>
      </c>
      <c r="D22">
        <v>0</v>
      </c>
    </row>
    <row r="23" spans="1:11" x14ac:dyDescent="0.35">
      <c r="A23" t="s">
        <v>16</v>
      </c>
      <c r="B23">
        <v>1</v>
      </c>
      <c r="C23">
        <v>22.111000000000001</v>
      </c>
      <c r="D23">
        <v>6</v>
      </c>
      <c r="E23">
        <v>5</v>
      </c>
      <c r="F23">
        <v>3000</v>
      </c>
      <c r="G23">
        <v>3000</v>
      </c>
      <c r="H23">
        <v>12093</v>
      </c>
      <c r="I23">
        <v>8076</v>
      </c>
      <c r="J23">
        <v>7853</v>
      </c>
      <c r="K23">
        <v>3150.4272091257717</v>
      </c>
    </row>
    <row r="24" spans="1:11" x14ac:dyDescent="0.35">
      <c r="A24" t="s">
        <v>16</v>
      </c>
      <c r="B24">
        <v>2</v>
      </c>
      <c r="D24">
        <v>1</v>
      </c>
    </row>
    <row r="25" spans="1:11" x14ac:dyDescent="0.35">
      <c r="A25" t="s">
        <v>16</v>
      </c>
      <c r="B25">
        <v>3</v>
      </c>
    </row>
    <row r="26" spans="1:11" x14ac:dyDescent="0.35">
      <c r="A26" t="s">
        <v>17</v>
      </c>
      <c r="B26">
        <v>1</v>
      </c>
      <c r="C26">
        <v>2.2599999999999998</v>
      </c>
      <c r="D26">
        <v>56</v>
      </c>
      <c r="E26">
        <v>55</v>
      </c>
      <c r="F26">
        <v>447</v>
      </c>
      <c r="G26">
        <v>204</v>
      </c>
      <c r="H26">
        <v>3267</v>
      </c>
      <c r="I26">
        <v>825.56363636363642</v>
      </c>
      <c r="J26">
        <v>615</v>
      </c>
      <c r="K26">
        <v>692.80181512559739</v>
      </c>
    </row>
    <row r="27" spans="1:11" x14ac:dyDescent="0.35">
      <c r="A27" t="s">
        <v>17</v>
      </c>
      <c r="B27">
        <v>2</v>
      </c>
      <c r="C27">
        <v>34.264000000000003</v>
      </c>
      <c r="D27">
        <v>4</v>
      </c>
      <c r="E27">
        <v>3</v>
      </c>
      <c r="F27">
        <v>4235</v>
      </c>
      <c r="G27">
        <v>4235</v>
      </c>
      <c r="H27">
        <v>19255</v>
      </c>
      <c r="I27">
        <v>12515</v>
      </c>
      <c r="J27">
        <v>14055</v>
      </c>
      <c r="K27">
        <v>6227.8300126662625</v>
      </c>
    </row>
    <row r="28" spans="1:11" x14ac:dyDescent="0.35">
      <c r="A28" t="s">
        <v>17</v>
      </c>
      <c r="B28">
        <v>3</v>
      </c>
      <c r="C28">
        <v>31.946999999999999</v>
      </c>
      <c r="D28">
        <v>3</v>
      </c>
      <c r="E28">
        <v>2</v>
      </c>
      <c r="F28">
        <v>229</v>
      </c>
      <c r="G28">
        <v>229</v>
      </c>
      <c r="H28">
        <v>23108</v>
      </c>
      <c r="I28">
        <v>11668.5</v>
      </c>
      <c r="J28">
        <v>11668.5</v>
      </c>
      <c r="K28">
        <v>11439.5</v>
      </c>
    </row>
    <row r="29" spans="1:11" x14ac:dyDescent="0.35">
      <c r="A29" t="s">
        <v>18</v>
      </c>
      <c r="B29">
        <v>1</v>
      </c>
      <c r="C29">
        <v>17.344999999999999</v>
      </c>
      <c r="D29">
        <v>8</v>
      </c>
      <c r="E29">
        <v>7</v>
      </c>
      <c r="F29">
        <v>1583</v>
      </c>
      <c r="G29">
        <v>1583</v>
      </c>
      <c r="H29">
        <v>13592</v>
      </c>
      <c r="I29">
        <v>6335.4285714285716</v>
      </c>
      <c r="J29">
        <v>4432</v>
      </c>
      <c r="K29">
        <v>4602.3306473736866</v>
      </c>
    </row>
    <row r="30" spans="1:11" x14ac:dyDescent="0.35">
      <c r="A30" t="s">
        <v>18</v>
      </c>
      <c r="B30">
        <v>2</v>
      </c>
      <c r="C30">
        <v>37.356999999999999</v>
      </c>
      <c r="D30">
        <v>3</v>
      </c>
      <c r="E30">
        <v>2</v>
      </c>
      <c r="F30">
        <v>7902</v>
      </c>
      <c r="G30">
        <v>7902</v>
      </c>
      <c r="H30">
        <v>19387</v>
      </c>
      <c r="I30">
        <v>13644.5</v>
      </c>
      <c r="J30">
        <v>13644.5</v>
      </c>
      <c r="K30">
        <v>5742.5</v>
      </c>
    </row>
    <row r="31" spans="1:11" x14ac:dyDescent="0.35">
      <c r="A31" t="s">
        <v>18</v>
      </c>
      <c r="B31">
        <v>3</v>
      </c>
      <c r="D31">
        <v>0</v>
      </c>
    </row>
    <row r="32" spans="1:11" x14ac:dyDescent="0.35">
      <c r="A32" t="s">
        <v>19</v>
      </c>
      <c r="B32">
        <v>1</v>
      </c>
      <c r="C32">
        <v>22.986999999999998</v>
      </c>
      <c r="D32">
        <v>4</v>
      </c>
      <c r="E32">
        <v>3</v>
      </c>
      <c r="F32">
        <v>306</v>
      </c>
      <c r="G32">
        <v>306</v>
      </c>
      <c r="H32">
        <v>23404</v>
      </c>
      <c r="I32">
        <v>8396</v>
      </c>
      <c r="J32">
        <v>1478</v>
      </c>
      <c r="K32">
        <v>10623.0392386862</v>
      </c>
    </row>
    <row r="33" spans="1:11" x14ac:dyDescent="0.35">
      <c r="A33" t="s">
        <v>19</v>
      </c>
      <c r="B33">
        <v>2</v>
      </c>
      <c r="C33">
        <v>26.55</v>
      </c>
      <c r="D33">
        <v>4</v>
      </c>
      <c r="E33">
        <v>3</v>
      </c>
      <c r="F33">
        <v>6583</v>
      </c>
      <c r="G33">
        <v>6583</v>
      </c>
      <c r="H33">
        <v>14428</v>
      </c>
      <c r="I33">
        <v>9697.3333333333339</v>
      </c>
      <c r="J33">
        <v>8081</v>
      </c>
      <c r="K33">
        <v>3400.5299913722602</v>
      </c>
    </row>
    <row r="34" spans="1:11" x14ac:dyDescent="0.35">
      <c r="A34" t="s">
        <v>19</v>
      </c>
      <c r="B34">
        <v>3</v>
      </c>
      <c r="D34">
        <v>1</v>
      </c>
    </row>
    <row r="35" spans="1:11" x14ac:dyDescent="0.35">
      <c r="A35" t="s">
        <v>20</v>
      </c>
      <c r="B35">
        <v>1</v>
      </c>
      <c r="D35">
        <v>0</v>
      </c>
    </row>
    <row r="36" spans="1:11" x14ac:dyDescent="0.35">
      <c r="A36" t="s">
        <v>20</v>
      </c>
      <c r="B36">
        <v>2</v>
      </c>
      <c r="D36">
        <v>0</v>
      </c>
    </row>
    <row r="37" spans="1:11" x14ac:dyDescent="0.35">
      <c r="A37" t="s">
        <v>20</v>
      </c>
      <c r="B37">
        <v>3</v>
      </c>
      <c r="D37">
        <v>1</v>
      </c>
    </row>
    <row r="38" spans="1:11" x14ac:dyDescent="0.35">
      <c r="A38" t="s">
        <v>21</v>
      </c>
      <c r="B38">
        <v>1</v>
      </c>
      <c r="C38">
        <v>14.715</v>
      </c>
      <c r="D38">
        <v>8</v>
      </c>
      <c r="E38">
        <v>7</v>
      </c>
      <c r="F38">
        <v>182</v>
      </c>
      <c r="G38">
        <v>182</v>
      </c>
      <c r="H38">
        <v>12994</v>
      </c>
      <c r="I38">
        <v>5374.5714285714284</v>
      </c>
      <c r="J38">
        <v>4420</v>
      </c>
      <c r="K38">
        <v>4011.7408354244726</v>
      </c>
    </row>
    <row r="39" spans="1:11" x14ac:dyDescent="0.35">
      <c r="A39" t="s">
        <v>21</v>
      </c>
      <c r="B39">
        <v>2</v>
      </c>
    </row>
    <row r="40" spans="1:11" x14ac:dyDescent="0.35">
      <c r="A40" t="s">
        <v>21</v>
      </c>
      <c r="B40">
        <v>3</v>
      </c>
    </row>
    <row r="41" spans="1:11" x14ac:dyDescent="0.35">
      <c r="A41" t="s">
        <v>22</v>
      </c>
      <c r="B41">
        <v>1</v>
      </c>
      <c r="C41">
        <v>16.274999999999999</v>
      </c>
      <c r="D41">
        <v>8</v>
      </c>
      <c r="E41">
        <v>7</v>
      </c>
      <c r="F41">
        <v>778</v>
      </c>
      <c r="G41">
        <v>778</v>
      </c>
      <c r="H41">
        <v>18291</v>
      </c>
      <c r="I41">
        <v>5944.5714285714284</v>
      </c>
      <c r="J41">
        <v>4244</v>
      </c>
      <c r="K41">
        <v>5357.2246774704117</v>
      </c>
    </row>
    <row r="42" spans="1:11" x14ac:dyDescent="0.35">
      <c r="A42" t="s">
        <v>23</v>
      </c>
      <c r="B42">
        <v>1</v>
      </c>
      <c r="C42">
        <v>11.221</v>
      </c>
      <c r="D42">
        <v>11</v>
      </c>
      <c r="E42">
        <v>10</v>
      </c>
      <c r="F42">
        <v>393</v>
      </c>
      <c r="G42">
        <v>393</v>
      </c>
      <c r="H42">
        <v>10184</v>
      </c>
      <c r="I42">
        <v>4098.3999999999996</v>
      </c>
      <c r="J42">
        <v>2887</v>
      </c>
      <c r="K42">
        <v>3341.0472669508881</v>
      </c>
    </row>
    <row r="43" spans="1:11" x14ac:dyDescent="0.35">
      <c r="A43" t="s">
        <v>23</v>
      </c>
      <c r="B43">
        <v>2</v>
      </c>
    </row>
    <row r="44" spans="1:11" x14ac:dyDescent="0.35">
      <c r="A44" t="s">
        <v>24</v>
      </c>
      <c r="B44">
        <v>1</v>
      </c>
      <c r="C44">
        <v>1.714</v>
      </c>
      <c r="D44">
        <v>2</v>
      </c>
      <c r="E44">
        <v>1</v>
      </c>
      <c r="F44">
        <v>626</v>
      </c>
      <c r="G44">
        <v>626</v>
      </c>
      <c r="H44">
        <v>626</v>
      </c>
      <c r="I44">
        <v>626</v>
      </c>
      <c r="J44">
        <v>626</v>
      </c>
      <c r="K44">
        <v>0</v>
      </c>
    </row>
    <row r="45" spans="1:11" x14ac:dyDescent="0.35">
      <c r="A45" t="s">
        <v>24</v>
      </c>
      <c r="B45">
        <v>2</v>
      </c>
      <c r="D45">
        <v>0</v>
      </c>
    </row>
    <row r="46" spans="1:11" x14ac:dyDescent="0.35">
      <c r="A46" t="s">
        <v>25</v>
      </c>
      <c r="B46">
        <v>1</v>
      </c>
      <c r="C46">
        <v>2.798</v>
      </c>
      <c r="D46">
        <v>44</v>
      </c>
      <c r="E46">
        <v>43</v>
      </c>
      <c r="F46">
        <v>737</v>
      </c>
      <c r="G46">
        <v>194</v>
      </c>
      <c r="H46">
        <v>3229</v>
      </c>
      <c r="I46">
        <v>1022.1395348837209</v>
      </c>
      <c r="J46">
        <v>737</v>
      </c>
      <c r="K46">
        <v>737.53226437568992</v>
      </c>
    </row>
    <row r="47" spans="1:11" x14ac:dyDescent="0.35">
      <c r="A47" t="s">
        <v>25</v>
      </c>
      <c r="B47">
        <v>2</v>
      </c>
      <c r="D47">
        <v>0</v>
      </c>
    </row>
    <row r="48" spans="1:11" x14ac:dyDescent="0.35">
      <c r="A48" t="s">
        <v>25</v>
      </c>
      <c r="B48">
        <v>3</v>
      </c>
      <c r="D48">
        <v>0</v>
      </c>
    </row>
    <row r="49" spans="1:11" x14ac:dyDescent="0.35">
      <c r="A49" t="s">
        <v>26</v>
      </c>
      <c r="B49">
        <v>1</v>
      </c>
      <c r="C49">
        <v>57.305999999999997</v>
      </c>
      <c r="D49">
        <v>2</v>
      </c>
      <c r="E49">
        <v>1</v>
      </c>
      <c r="F49">
        <v>20931</v>
      </c>
      <c r="G49">
        <v>20931</v>
      </c>
      <c r="H49">
        <v>20931</v>
      </c>
      <c r="I49">
        <v>20931</v>
      </c>
      <c r="J49">
        <v>20931</v>
      </c>
      <c r="K49">
        <v>0</v>
      </c>
    </row>
    <row r="50" spans="1:11" x14ac:dyDescent="0.35">
      <c r="A50" t="s">
        <v>26</v>
      </c>
      <c r="B50">
        <v>2</v>
      </c>
      <c r="C50">
        <v>6.5570000000000004</v>
      </c>
      <c r="D50">
        <v>3</v>
      </c>
      <c r="E50">
        <v>2</v>
      </c>
      <c r="F50">
        <v>2245</v>
      </c>
      <c r="G50">
        <v>2245</v>
      </c>
      <c r="H50">
        <v>2545</v>
      </c>
      <c r="I50">
        <v>2395</v>
      </c>
      <c r="J50">
        <v>2395</v>
      </c>
      <c r="K50">
        <v>150</v>
      </c>
    </row>
    <row r="51" spans="1:11" x14ac:dyDescent="0.35">
      <c r="A51" t="s">
        <v>26</v>
      </c>
      <c r="B51">
        <v>3</v>
      </c>
      <c r="C51">
        <v>16.344999999999999</v>
      </c>
      <c r="D51">
        <v>7</v>
      </c>
      <c r="E51">
        <v>6</v>
      </c>
      <c r="F51">
        <v>1292</v>
      </c>
      <c r="G51">
        <v>1292</v>
      </c>
      <c r="H51">
        <v>12472</v>
      </c>
      <c r="I51">
        <v>5969.833333333333</v>
      </c>
      <c r="J51">
        <v>4202</v>
      </c>
      <c r="K51">
        <v>4040.4190961114696</v>
      </c>
    </row>
    <row r="52" spans="1:11" x14ac:dyDescent="0.35">
      <c r="A52" t="s">
        <v>27</v>
      </c>
      <c r="B52">
        <v>1</v>
      </c>
      <c r="C52">
        <v>3.68</v>
      </c>
      <c r="D52">
        <v>33</v>
      </c>
      <c r="E52">
        <v>32</v>
      </c>
      <c r="F52">
        <v>193</v>
      </c>
      <c r="G52">
        <v>193</v>
      </c>
      <c r="H52">
        <v>3325</v>
      </c>
      <c r="I52">
        <v>1344</v>
      </c>
      <c r="J52">
        <v>1211</v>
      </c>
      <c r="K52">
        <v>867.70527110303988</v>
      </c>
    </row>
    <row r="53" spans="1:11" x14ac:dyDescent="0.35">
      <c r="A53" t="s">
        <v>27</v>
      </c>
      <c r="B53">
        <v>2</v>
      </c>
      <c r="D53">
        <v>0</v>
      </c>
    </row>
    <row r="54" spans="1:11" x14ac:dyDescent="0.35">
      <c r="A54" t="s">
        <v>27</v>
      </c>
      <c r="B54">
        <v>3</v>
      </c>
      <c r="D54">
        <v>0</v>
      </c>
    </row>
    <row r="55" spans="1:11" x14ac:dyDescent="0.35">
      <c r="A55" t="s">
        <v>28</v>
      </c>
      <c r="B55">
        <v>1</v>
      </c>
      <c r="C55">
        <v>6.9550000000000001</v>
      </c>
      <c r="D55">
        <v>4</v>
      </c>
      <c r="E55">
        <v>3</v>
      </c>
      <c r="F55">
        <v>334</v>
      </c>
      <c r="G55">
        <v>334</v>
      </c>
      <c r="H55">
        <v>4411</v>
      </c>
      <c r="I55">
        <v>2540.3333333333335</v>
      </c>
      <c r="J55">
        <v>2876</v>
      </c>
      <c r="K55">
        <v>1681.2666521273643</v>
      </c>
    </row>
    <row r="56" spans="1:11" x14ac:dyDescent="0.35">
      <c r="A56" t="s">
        <v>28</v>
      </c>
      <c r="B56">
        <v>2</v>
      </c>
      <c r="C56">
        <v>49.442999999999998</v>
      </c>
      <c r="D56">
        <v>2</v>
      </c>
      <c r="E56">
        <v>1</v>
      </c>
      <c r="F56">
        <v>18059</v>
      </c>
      <c r="G56">
        <v>18059</v>
      </c>
      <c r="H56">
        <v>18059</v>
      </c>
      <c r="I56">
        <v>18059</v>
      </c>
      <c r="J56">
        <v>18059</v>
      </c>
      <c r="K56">
        <v>0</v>
      </c>
    </row>
    <row r="57" spans="1:11" x14ac:dyDescent="0.35">
      <c r="A57" t="s">
        <v>28</v>
      </c>
      <c r="B57">
        <v>3</v>
      </c>
      <c r="D57">
        <v>0</v>
      </c>
    </row>
    <row r="58" spans="1:11" x14ac:dyDescent="0.35">
      <c r="A58" t="s">
        <v>29</v>
      </c>
      <c r="B58">
        <v>1</v>
      </c>
      <c r="C58">
        <v>1.4339999999999999</v>
      </c>
      <c r="D58">
        <v>89</v>
      </c>
      <c r="E58">
        <v>88</v>
      </c>
      <c r="F58">
        <v>188</v>
      </c>
      <c r="G58">
        <v>188</v>
      </c>
      <c r="H58">
        <v>2124</v>
      </c>
      <c r="I58">
        <v>523.94318181818187</v>
      </c>
      <c r="J58">
        <v>428.5</v>
      </c>
      <c r="K58">
        <v>361.87288570443883</v>
      </c>
    </row>
    <row r="59" spans="1:11" x14ac:dyDescent="0.35">
      <c r="A59" t="s">
        <v>29</v>
      </c>
      <c r="B59">
        <v>2</v>
      </c>
      <c r="D59">
        <v>0</v>
      </c>
    </row>
    <row r="60" spans="1:11" x14ac:dyDescent="0.35">
      <c r="A60" t="s">
        <v>29</v>
      </c>
      <c r="B60">
        <v>3</v>
      </c>
      <c r="D60">
        <v>1</v>
      </c>
    </row>
    <row r="61" spans="1:11" x14ac:dyDescent="0.35">
      <c r="A61" t="s">
        <v>30</v>
      </c>
      <c r="B61">
        <v>1</v>
      </c>
      <c r="C61">
        <v>14.531000000000001</v>
      </c>
      <c r="D61">
        <v>9</v>
      </c>
      <c r="E61">
        <v>8</v>
      </c>
      <c r="F61">
        <v>1050</v>
      </c>
      <c r="G61">
        <v>1050</v>
      </c>
      <c r="H61">
        <v>16939</v>
      </c>
      <c r="I61">
        <v>5307.5</v>
      </c>
      <c r="J61">
        <v>4078.5</v>
      </c>
      <c r="K61">
        <v>4681.7918311261983</v>
      </c>
    </row>
    <row r="62" spans="1:11" x14ac:dyDescent="0.35">
      <c r="A62" t="s">
        <v>30</v>
      </c>
      <c r="B62">
        <v>2</v>
      </c>
    </row>
    <row r="63" spans="1:11" x14ac:dyDescent="0.35">
      <c r="A63" t="s">
        <v>30</v>
      </c>
      <c r="B63">
        <v>3</v>
      </c>
    </row>
    <row r="64" spans="1:11" x14ac:dyDescent="0.35">
      <c r="A64" t="s">
        <v>31</v>
      </c>
      <c r="B64">
        <v>1</v>
      </c>
      <c r="D64">
        <v>0</v>
      </c>
    </row>
    <row r="65" spans="1:11" x14ac:dyDescent="0.35">
      <c r="A65" t="s">
        <v>31</v>
      </c>
      <c r="B65">
        <v>2</v>
      </c>
      <c r="D65">
        <v>0</v>
      </c>
    </row>
    <row r="66" spans="1:11" x14ac:dyDescent="0.35">
      <c r="A66" t="s">
        <v>31</v>
      </c>
      <c r="B66">
        <v>3</v>
      </c>
      <c r="C66">
        <v>12.89</v>
      </c>
      <c r="D66">
        <v>3</v>
      </c>
      <c r="E66">
        <v>2</v>
      </c>
      <c r="F66">
        <v>1119</v>
      </c>
      <c r="G66">
        <v>1119</v>
      </c>
      <c r="H66">
        <v>8297</v>
      </c>
      <c r="I66">
        <v>4708</v>
      </c>
      <c r="J66">
        <v>4708</v>
      </c>
      <c r="K66">
        <v>3589</v>
      </c>
    </row>
    <row r="67" spans="1:11" x14ac:dyDescent="0.35">
      <c r="A67" t="s">
        <v>32</v>
      </c>
      <c r="B67">
        <v>1</v>
      </c>
      <c r="C67">
        <v>3.3180000000000001</v>
      </c>
      <c r="D67">
        <v>35</v>
      </c>
      <c r="E67">
        <v>34</v>
      </c>
      <c r="F67">
        <v>199</v>
      </c>
      <c r="G67">
        <v>199</v>
      </c>
      <c r="H67">
        <v>3713</v>
      </c>
      <c r="I67">
        <v>1211.9705882352941</v>
      </c>
      <c r="J67">
        <v>940.5</v>
      </c>
      <c r="K67">
        <v>828.46816422536608</v>
      </c>
    </row>
    <row r="68" spans="1:11" x14ac:dyDescent="0.35">
      <c r="A68" t="s">
        <v>32</v>
      </c>
      <c r="B68">
        <v>2</v>
      </c>
      <c r="C68">
        <v>7.0579999999999998</v>
      </c>
      <c r="D68">
        <v>11</v>
      </c>
      <c r="E68">
        <v>10</v>
      </c>
      <c r="F68">
        <v>459</v>
      </c>
      <c r="G68">
        <v>459</v>
      </c>
      <c r="H68">
        <v>5508</v>
      </c>
      <c r="I68">
        <v>2577.9</v>
      </c>
      <c r="J68">
        <v>2932</v>
      </c>
      <c r="K68">
        <v>1715.7623640819259</v>
      </c>
    </row>
    <row r="69" spans="1:11" x14ac:dyDescent="0.35">
      <c r="A69" t="s">
        <v>32</v>
      </c>
      <c r="B69">
        <v>3</v>
      </c>
    </row>
    <row r="70" spans="1:11" x14ac:dyDescent="0.35">
      <c r="A70" t="s">
        <v>34</v>
      </c>
      <c r="B70">
        <v>1</v>
      </c>
      <c r="D70">
        <v>0</v>
      </c>
    </row>
    <row r="71" spans="1:11" x14ac:dyDescent="0.35">
      <c r="A71" t="s">
        <v>34</v>
      </c>
      <c r="B71">
        <v>2</v>
      </c>
      <c r="D71">
        <v>1</v>
      </c>
    </row>
    <row r="72" spans="1:11" x14ac:dyDescent="0.35">
      <c r="A72" t="s">
        <v>34</v>
      </c>
      <c r="B72">
        <v>3</v>
      </c>
      <c r="D72">
        <v>0</v>
      </c>
    </row>
    <row r="73" spans="1:11" x14ac:dyDescent="0.35">
      <c r="A73" t="s">
        <v>35</v>
      </c>
      <c r="B73">
        <v>1</v>
      </c>
      <c r="D73">
        <v>0</v>
      </c>
    </row>
    <row r="74" spans="1:11" x14ac:dyDescent="0.35">
      <c r="A74" t="s">
        <v>35</v>
      </c>
      <c r="B74">
        <v>2</v>
      </c>
      <c r="D74">
        <v>0</v>
      </c>
    </row>
    <row r="75" spans="1:11" x14ac:dyDescent="0.35">
      <c r="A75" t="s">
        <v>35</v>
      </c>
      <c r="B75">
        <v>3</v>
      </c>
    </row>
    <row r="76" spans="1:11" x14ac:dyDescent="0.35">
      <c r="A76" t="s">
        <v>36</v>
      </c>
      <c r="B76">
        <v>1</v>
      </c>
      <c r="D76">
        <v>0</v>
      </c>
    </row>
    <row r="77" spans="1:11" x14ac:dyDescent="0.35">
      <c r="A77" t="s">
        <v>36</v>
      </c>
      <c r="B77">
        <v>2</v>
      </c>
      <c r="D77">
        <v>0</v>
      </c>
    </row>
    <row r="78" spans="1:11" x14ac:dyDescent="0.35">
      <c r="A78" t="s">
        <v>36</v>
      </c>
      <c r="B78">
        <v>3</v>
      </c>
      <c r="D78">
        <v>0</v>
      </c>
    </row>
    <row r="79" spans="1:11" x14ac:dyDescent="0.35">
      <c r="A79" t="s">
        <v>37</v>
      </c>
      <c r="B79">
        <v>1</v>
      </c>
      <c r="D79">
        <v>0</v>
      </c>
    </row>
    <row r="80" spans="1:11" x14ac:dyDescent="0.35">
      <c r="A80" t="s">
        <v>37</v>
      </c>
      <c r="B80">
        <v>2</v>
      </c>
      <c r="D80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5381C-0C7A-4E0A-8301-846457C30CE3}">
  <dimension ref="A1:K80"/>
  <sheetViews>
    <sheetView workbookViewId="0"/>
  </sheetViews>
  <sheetFormatPr defaultRowHeight="14.5" x14ac:dyDescent="0.35"/>
  <cols>
    <col min="1" max="1" width="16.6328125" bestFit="1" customWidth="1"/>
    <col min="2" max="2" width="11.26953125" bestFit="1" customWidth="1"/>
    <col min="3" max="3" width="10.54296875" bestFit="1" customWidth="1"/>
    <col min="4" max="4" width="18.7265625" bestFit="1" customWidth="1"/>
    <col min="5" max="5" width="11.90625" bestFit="1" customWidth="1"/>
    <col min="6" max="6" width="13.36328125" bestFit="1" customWidth="1"/>
    <col min="7" max="7" width="10.26953125" bestFit="1" customWidth="1"/>
    <col min="8" max="8" width="10.6328125" bestFit="1" customWidth="1"/>
    <col min="9" max="9" width="11.81640625" bestFit="1" customWidth="1"/>
    <col min="10" max="10" width="13.36328125" bestFit="1" customWidth="1"/>
    <col min="11" max="11" width="11.81640625" bestFit="1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38</v>
      </c>
      <c r="F1" t="s">
        <v>4</v>
      </c>
      <c r="G1" t="s">
        <v>39</v>
      </c>
      <c r="H1" t="s">
        <v>40</v>
      </c>
      <c r="I1" t="s">
        <v>5</v>
      </c>
      <c r="J1" t="s">
        <v>6</v>
      </c>
      <c r="K1" t="s">
        <v>41</v>
      </c>
    </row>
    <row r="2" spans="1:11" x14ac:dyDescent="0.35">
      <c r="A2" t="s">
        <v>9</v>
      </c>
      <c r="B2">
        <v>1</v>
      </c>
      <c r="C2">
        <v>13.19</v>
      </c>
      <c r="D2">
        <v>9</v>
      </c>
      <c r="E2">
        <v>8</v>
      </c>
      <c r="F2">
        <v>743</v>
      </c>
      <c r="G2">
        <v>743</v>
      </c>
      <c r="H2">
        <v>12915</v>
      </c>
      <c r="I2">
        <v>4817.75</v>
      </c>
      <c r="J2">
        <v>3511</v>
      </c>
      <c r="K2">
        <v>3868.1618615952461</v>
      </c>
    </row>
    <row r="3" spans="1:11" x14ac:dyDescent="0.35">
      <c r="A3" t="s">
        <v>9</v>
      </c>
      <c r="B3">
        <v>2</v>
      </c>
      <c r="C3">
        <v>26.869</v>
      </c>
      <c r="D3">
        <v>2</v>
      </c>
      <c r="E3">
        <v>1</v>
      </c>
      <c r="F3">
        <v>9814</v>
      </c>
      <c r="G3">
        <v>9814</v>
      </c>
      <c r="H3">
        <v>9814</v>
      </c>
      <c r="I3">
        <v>9814</v>
      </c>
      <c r="J3">
        <v>9814</v>
      </c>
      <c r="K3">
        <v>0</v>
      </c>
    </row>
    <row r="4" spans="1:11" x14ac:dyDescent="0.35">
      <c r="A4" t="s">
        <v>9</v>
      </c>
      <c r="B4">
        <v>3</v>
      </c>
      <c r="D4">
        <v>0</v>
      </c>
    </row>
    <row r="5" spans="1:11" x14ac:dyDescent="0.35">
      <c r="A5" t="s">
        <v>10</v>
      </c>
      <c r="B5">
        <v>1</v>
      </c>
      <c r="C5">
        <v>32.430999999999997</v>
      </c>
      <c r="D5">
        <v>3</v>
      </c>
      <c r="E5">
        <v>2</v>
      </c>
      <c r="F5">
        <v>4617</v>
      </c>
      <c r="G5">
        <v>4617</v>
      </c>
      <c r="H5">
        <v>19074</v>
      </c>
      <c r="I5">
        <v>11845.5</v>
      </c>
      <c r="J5">
        <v>11845.5</v>
      </c>
      <c r="K5">
        <v>7228.5</v>
      </c>
    </row>
    <row r="6" spans="1:11" x14ac:dyDescent="0.35">
      <c r="A6" t="s">
        <v>10</v>
      </c>
      <c r="B6">
        <v>2</v>
      </c>
      <c r="D6">
        <v>0</v>
      </c>
    </row>
    <row r="7" spans="1:11" x14ac:dyDescent="0.35">
      <c r="A7" t="s">
        <v>10</v>
      </c>
      <c r="B7">
        <v>3</v>
      </c>
      <c r="D7">
        <v>0</v>
      </c>
    </row>
    <row r="8" spans="1:11" x14ac:dyDescent="0.35">
      <c r="A8" t="s">
        <v>11</v>
      </c>
      <c r="B8">
        <v>1</v>
      </c>
      <c r="C8">
        <v>21.893999999999998</v>
      </c>
      <c r="D8">
        <v>4</v>
      </c>
      <c r="E8">
        <v>3</v>
      </c>
      <c r="F8">
        <v>2069</v>
      </c>
      <c r="G8">
        <v>2069</v>
      </c>
      <c r="H8">
        <v>17764</v>
      </c>
      <c r="I8">
        <v>7996.666666666667</v>
      </c>
      <c r="J8">
        <v>4157</v>
      </c>
      <c r="K8">
        <v>6958.9528107483393</v>
      </c>
    </row>
    <row r="9" spans="1:11" x14ac:dyDescent="0.35">
      <c r="A9" t="s">
        <v>11</v>
      </c>
      <c r="B9">
        <v>2</v>
      </c>
      <c r="D9">
        <v>0</v>
      </c>
    </row>
    <row r="10" spans="1:11" x14ac:dyDescent="0.35">
      <c r="A10" t="s">
        <v>11</v>
      </c>
      <c r="B10">
        <v>3</v>
      </c>
    </row>
    <row r="11" spans="1:11" x14ac:dyDescent="0.35">
      <c r="A11" t="s">
        <v>12</v>
      </c>
      <c r="B11">
        <v>1</v>
      </c>
      <c r="C11">
        <v>20.664999999999999</v>
      </c>
      <c r="D11">
        <v>6</v>
      </c>
      <c r="E11">
        <v>5</v>
      </c>
      <c r="F11">
        <v>250</v>
      </c>
      <c r="G11">
        <v>250</v>
      </c>
      <c r="H11">
        <v>31780</v>
      </c>
      <c r="I11">
        <v>7548</v>
      </c>
      <c r="J11">
        <v>2136</v>
      </c>
      <c r="K11">
        <v>12154.016669397817</v>
      </c>
    </row>
    <row r="12" spans="1:11" x14ac:dyDescent="0.35">
      <c r="A12" t="s">
        <v>12</v>
      </c>
      <c r="B12">
        <v>2</v>
      </c>
    </row>
    <row r="13" spans="1:11" x14ac:dyDescent="0.35">
      <c r="A13" t="s">
        <v>12</v>
      </c>
      <c r="B13">
        <v>3</v>
      </c>
    </row>
    <row r="14" spans="1:11" x14ac:dyDescent="0.35">
      <c r="A14" t="s">
        <v>13</v>
      </c>
      <c r="B14">
        <v>1</v>
      </c>
      <c r="C14">
        <v>16.542999999999999</v>
      </c>
      <c r="D14">
        <v>6</v>
      </c>
      <c r="E14">
        <v>5</v>
      </c>
      <c r="F14">
        <v>2576</v>
      </c>
      <c r="G14">
        <v>2576</v>
      </c>
      <c r="H14">
        <v>12867</v>
      </c>
      <c r="I14">
        <v>6042.4</v>
      </c>
      <c r="J14">
        <v>3995</v>
      </c>
      <c r="K14">
        <v>3952.0305464406524</v>
      </c>
    </row>
    <row r="15" spans="1:11" x14ac:dyDescent="0.35">
      <c r="A15" t="s">
        <v>13</v>
      </c>
      <c r="B15">
        <v>2</v>
      </c>
      <c r="D15">
        <v>0</v>
      </c>
    </row>
    <row r="16" spans="1:11" x14ac:dyDescent="0.35">
      <c r="A16" t="s">
        <v>13</v>
      </c>
      <c r="B16">
        <v>3</v>
      </c>
      <c r="D16">
        <v>0</v>
      </c>
    </row>
    <row r="17" spans="1:11" x14ac:dyDescent="0.35">
      <c r="A17" t="s">
        <v>14</v>
      </c>
      <c r="B17">
        <v>1</v>
      </c>
      <c r="C17">
        <v>28.422000000000001</v>
      </c>
      <c r="D17">
        <v>4</v>
      </c>
      <c r="E17">
        <v>3</v>
      </c>
      <c r="F17">
        <v>3672</v>
      </c>
      <c r="G17">
        <v>3672</v>
      </c>
      <c r="H17">
        <v>19466</v>
      </c>
      <c r="I17">
        <v>10381</v>
      </c>
      <c r="J17">
        <v>8005</v>
      </c>
      <c r="K17">
        <v>6663.1644634262675</v>
      </c>
    </row>
    <row r="18" spans="1:11" x14ac:dyDescent="0.35">
      <c r="A18" t="s">
        <v>14</v>
      </c>
      <c r="B18">
        <v>2</v>
      </c>
      <c r="D18">
        <v>0</v>
      </c>
    </row>
    <row r="19" spans="1:11" x14ac:dyDescent="0.35">
      <c r="A19" t="s">
        <v>14</v>
      </c>
      <c r="B19">
        <v>3</v>
      </c>
      <c r="D19">
        <v>0</v>
      </c>
    </row>
    <row r="20" spans="1:11" x14ac:dyDescent="0.35">
      <c r="A20" t="s">
        <v>15</v>
      </c>
      <c r="B20">
        <v>1</v>
      </c>
      <c r="D20">
        <v>0</v>
      </c>
    </row>
    <row r="21" spans="1:11" x14ac:dyDescent="0.35">
      <c r="A21" t="s">
        <v>15</v>
      </c>
      <c r="B21">
        <v>2</v>
      </c>
      <c r="D21">
        <v>0</v>
      </c>
    </row>
    <row r="22" spans="1:11" x14ac:dyDescent="0.35">
      <c r="A22" t="s">
        <v>15</v>
      </c>
      <c r="B22">
        <v>3</v>
      </c>
      <c r="D22">
        <v>0</v>
      </c>
    </row>
    <row r="23" spans="1:11" x14ac:dyDescent="0.35">
      <c r="A23" t="s">
        <v>16</v>
      </c>
      <c r="B23">
        <v>1</v>
      </c>
      <c r="D23">
        <v>0</v>
      </c>
    </row>
    <row r="24" spans="1:11" x14ac:dyDescent="0.35">
      <c r="A24" t="s">
        <v>16</v>
      </c>
      <c r="B24">
        <v>2</v>
      </c>
      <c r="D24">
        <v>0</v>
      </c>
    </row>
    <row r="25" spans="1:11" x14ac:dyDescent="0.35">
      <c r="A25" t="s">
        <v>16</v>
      </c>
      <c r="B25">
        <v>3</v>
      </c>
    </row>
    <row r="26" spans="1:11" x14ac:dyDescent="0.35">
      <c r="A26" t="s">
        <v>17</v>
      </c>
      <c r="B26">
        <v>1</v>
      </c>
      <c r="C26">
        <v>14.744</v>
      </c>
      <c r="D26">
        <v>9</v>
      </c>
      <c r="E26">
        <v>8</v>
      </c>
      <c r="F26">
        <v>1610</v>
      </c>
      <c r="G26">
        <v>1610</v>
      </c>
      <c r="H26">
        <v>11314</v>
      </c>
      <c r="I26">
        <v>5385.125</v>
      </c>
      <c r="J26">
        <v>4232</v>
      </c>
      <c r="K26">
        <v>3662.4270449218507</v>
      </c>
    </row>
    <row r="27" spans="1:11" x14ac:dyDescent="0.35">
      <c r="A27" t="s">
        <v>17</v>
      </c>
      <c r="B27">
        <v>2</v>
      </c>
      <c r="D27">
        <v>0</v>
      </c>
    </row>
    <row r="28" spans="1:11" x14ac:dyDescent="0.35">
      <c r="A28" t="s">
        <v>17</v>
      </c>
      <c r="B28">
        <v>3</v>
      </c>
      <c r="D28">
        <v>0</v>
      </c>
    </row>
    <row r="29" spans="1:11" x14ac:dyDescent="0.35">
      <c r="A29" t="s">
        <v>18</v>
      </c>
      <c r="B29">
        <v>1</v>
      </c>
      <c r="D29">
        <v>0</v>
      </c>
    </row>
    <row r="30" spans="1:11" x14ac:dyDescent="0.35">
      <c r="A30" t="s">
        <v>18</v>
      </c>
      <c r="B30">
        <v>2</v>
      </c>
      <c r="D30">
        <v>0</v>
      </c>
    </row>
    <row r="31" spans="1:11" x14ac:dyDescent="0.35">
      <c r="A31" t="s">
        <v>18</v>
      </c>
      <c r="B31">
        <v>3</v>
      </c>
      <c r="D31">
        <v>0</v>
      </c>
    </row>
    <row r="32" spans="1:11" x14ac:dyDescent="0.35">
      <c r="A32" t="s">
        <v>19</v>
      </c>
      <c r="B32">
        <v>1</v>
      </c>
      <c r="D32">
        <v>0</v>
      </c>
    </row>
    <row r="33" spans="1:11" x14ac:dyDescent="0.35">
      <c r="A33" t="s">
        <v>19</v>
      </c>
      <c r="B33">
        <v>2</v>
      </c>
      <c r="D33">
        <v>0</v>
      </c>
    </row>
    <row r="34" spans="1:11" x14ac:dyDescent="0.35">
      <c r="A34" t="s">
        <v>19</v>
      </c>
      <c r="B34">
        <v>3</v>
      </c>
      <c r="D34">
        <v>0</v>
      </c>
    </row>
    <row r="35" spans="1:11" x14ac:dyDescent="0.35">
      <c r="A35" t="s">
        <v>20</v>
      </c>
      <c r="B35">
        <v>1</v>
      </c>
      <c r="D35">
        <v>0</v>
      </c>
    </row>
    <row r="36" spans="1:11" x14ac:dyDescent="0.35">
      <c r="A36" t="s">
        <v>20</v>
      </c>
      <c r="B36">
        <v>2</v>
      </c>
      <c r="D36">
        <v>0</v>
      </c>
    </row>
    <row r="37" spans="1:11" x14ac:dyDescent="0.35">
      <c r="A37" t="s">
        <v>20</v>
      </c>
      <c r="B37">
        <v>3</v>
      </c>
      <c r="D37">
        <v>0</v>
      </c>
    </row>
    <row r="38" spans="1:11" x14ac:dyDescent="0.35">
      <c r="A38" t="s">
        <v>21</v>
      </c>
      <c r="B38">
        <v>1</v>
      </c>
      <c r="D38">
        <v>0</v>
      </c>
    </row>
    <row r="39" spans="1:11" x14ac:dyDescent="0.35">
      <c r="A39" t="s">
        <v>21</v>
      </c>
      <c r="B39">
        <v>2</v>
      </c>
    </row>
    <row r="40" spans="1:11" x14ac:dyDescent="0.35">
      <c r="A40" t="s">
        <v>21</v>
      </c>
      <c r="B40">
        <v>3</v>
      </c>
    </row>
    <row r="41" spans="1:11" x14ac:dyDescent="0.35">
      <c r="A41" t="s">
        <v>22</v>
      </c>
      <c r="B41">
        <v>1</v>
      </c>
      <c r="D41">
        <v>0</v>
      </c>
    </row>
    <row r="42" spans="1:11" x14ac:dyDescent="0.35">
      <c r="A42" t="s">
        <v>23</v>
      </c>
      <c r="B42">
        <v>1</v>
      </c>
      <c r="D42">
        <v>0</v>
      </c>
    </row>
    <row r="43" spans="1:11" x14ac:dyDescent="0.35">
      <c r="A43" t="s">
        <v>23</v>
      </c>
      <c r="B43">
        <v>2</v>
      </c>
    </row>
    <row r="44" spans="1:11" x14ac:dyDescent="0.35">
      <c r="A44" t="s">
        <v>24</v>
      </c>
      <c r="B44">
        <v>1</v>
      </c>
      <c r="D44">
        <v>0</v>
      </c>
    </row>
    <row r="45" spans="1:11" x14ac:dyDescent="0.35">
      <c r="A45" t="s">
        <v>24</v>
      </c>
      <c r="B45">
        <v>2</v>
      </c>
      <c r="D45">
        <v>0</v>
      </c>
    </row>
    <row r="46" spans="1:11" x14ac:dyDescent="0.35">
      <c r="A46" t="s">
        <v>25</v>
      </c>
      <c r="B46">
        <v>1</v>
      </c>
      <c r="C46">
        <v>10.907999999999999</v>
      </c>
      <c r="D46">
        <v>11</v>
      </c>
      <c r="E46">
        <v>10</v>
      </c>
      <c r="F46">
        <v>533</v>
      </c>
      <c r="G46">
        <v>533</v>
      </c>
      <c r="H46">
        <v>9051</v>
      </c>
      <c r="I46">
        <v>3984.2</v>
      </c>
      <c r="J46">
        <v>3626.5</v>
      </c>
      <c r="K46">
        <v>2570.099912454767</v>
      </c>
    </row>
    <row r="47" spans="1:11" x14ac:dyDescent="0.35">
      <c r="A47" t="s">
        <v>25</v>
      </c>
      <c r="B47">
        <v>2</v>
      </c>
      <c r="D47">
        <v>0</v>
      </c>
    </row>
    <row r="48" spans="1:11" x14ac:dyDescent="0.35">
      <c r="A48" t="s">
        <v>25</v>
      </c>
      <c r="B48">
        <v>3</v>
      </c>
      <c r="D48">
        <v>0</v>
      </c>
    </row>
    <row r="49" spans="1:11" x14ac:dyDescent="0.35">
      <c r="A49" t="s">
        <v>26</v>
      </c>
      <c r="B49">
        <v>1</v>
      </c>
      <c r="D49">
        <v>0</v>
      </c>
    </row>
    <row r="50" spans="1:11" x14ac:dyDescent="0.35">
      <c r="A50" t="s">
        <v>26</v>
      </c>
      <c r="B50">
        <v>2</v>
      </c>
      <c r="D50">
        <v>0</v>
      </c>
    </row>
    <row r="51" spans="1:11" x14ac:dyDescent="0.35">
      <c r="A51" t="s">
        <v>26</v>
      </c>
      <c r="B51">
        <v>3</v>
      </c>
      <c r="D51">
        <v>1</v>
      </c>
    </row>
    <row r="52" spans="1:11" x14ac:dyDescent="0.35">
      <c r="A52" t="s">
        <v>27</v>
      </c>
      <c r="B52">
        <v>1</v>
      </c>
      <c r="C52">
        <v>17.54</v>
      </c>
      <c r="D52">
        <v>7</v>
      </c>
      <c r="E52">
        <v>6</v>
      </c>
      <c r="F52">
        <v>822</v>
      </c>
      <c r="G52">
        <v>822</v>
      </c>
      <c r="H52">
        <v>12668</v>
      </c>
      <c r="I52">
        <v>6406.666666666667</v>
      </c>
      <c r="J52">
        <v>6561</v>
      </c>
      <c r="K52">
        <v>4244.0122002128546</v>
      </c>
    </row>
    <row r="53" spans="1:11" x14ac:dyDescent="0.35">
      <c r="A53" t="s">
        <v>27</v>
      </c>
      <c r="B53">
        <v>2</v>
      </c>
      <c r="D53">
        <v>0</v>
      </c>
    </row>
    <row r="54" spans="1:11" x14ac:dyDescent="0.35">
      <c r="A54" t="s">
        <v>27</v>
      </c>
      <c r="B54">
        <v>3</v>
      </c>
      <c r="D54">
        <v>0</v>
      </c>
    </row>
    <row r="55" spans="1:11" x14ac:dyDescent="0.35">
      <c r="A55" t="s">
        <v>28</v>
      </c>
      <c r="B55">
        <v>1</v>
      </c>
      <c r="D55">
        <v>0</v>
      </c>
    </row>
    <row r="56" spans="1:11" x14ac:dyDescent="0.35">
      <c r="A56" t="s">
        <v>28</v>
      </c>
      <c r="B56">
        <v>2</v>
      </c>
      <c r="D56">
        <v>0</v>
      </c>
    </row>
    <row r="57" spans="1:11" x14ac:dyDescent="0.35">
      <c r="A57" t="s">
        <v>28</v>
      </c>
      <c r="B57">
        <v>3</v>
      </c>
      <c r="D57">
        <v>0</v>
      </c>
    </row>
    <row r="58" spans="1:11" x14ac:dyDescent="0.35">
      <c r="A58" t="s">
        <v>29</v>
      </c>
      <c r="B58">
        <v>1</v>
      </c>
      <c r="C58">
        <v>11.186999999999999</v>
      </c>
      <c r="D58">
        <v>10</v>
      </c>
      <c r="E58">
        <v>9</v>
      </c>
      <c r="F58">
        <v>447</v>
      </c>
      <c r="G58">
        <v>447</v>
      </c>
      <c r="H58">
        <v>8719</v>
      </c>
      <c r="I58">
        <v>4086.2222222222222</v>
      </c>
      <c r="J58">
        <v>3235</v>
      </c>
      <c r="K58">
        <v>3104.0810333701656</v>
      </c>
    </row>
    <row r="59" spans="1:11" x14ac:dyDescent="0.35">
      <c r="A59" t="s">
        <v>29</v>
      </c>
      <c r="B59">
        <v>2</v>
      </c>
      <c r="D59">
        <v>0</v>
      </c>
    </row>
    <row r="60" spans="1:11" x14ac:dyDescent="0.35">
      <c r="A60" t="s">
        <v>29</v>
      </c>
      <c r="B60">
        <v>3</v>
      </c>
      <c r="D60">
        <v>0</v>
      </c>
    </row>
    <row r="61" spans="1:11" x14ac:dyDescent="0.35">
      <c r="A61" t="s">
        <v>30</v>
      </c>
      <c r="B61">
        <v>1</v>
      </c>
      <c r="D61">
        <v>0</v>
      </c>
    </row>
    <row r="62" spans="1:11" x14ac:dyDescent="0.35">
      <c r="A62" t="s">
        <v>30</v>
      </c>
      <c r="B62">
        <v>2</v>
      </c>
    </row>
    <row r="63" spans="1:11" x14ac:dyDescent="0.35">
      <c r="A63" t="s">
        <v>30</v>
      </c>
      <c r="B63">
        <v>3</v>
      </c>
    </row>
    <row r="64" spans="1:11" x14ac:dyDescent="0.35">
      <c r="A64" t="s">
        <v>31</v>
      </c>
      <c r="B64">
        <v>1</v>
      </c>
      <c r="D64">
        <v>0</v>
      </c>
    </row>
    <row r="65" spans="1:11" x14ac:dyDescent="0.35">
      <c r="A65" t="s">
        <v>31</v>
      </c>
      <c r="B65">
        <v>2</v>
      </c>
      <c r="D65">
        <v>0</v>
      </c>
    </row>
    <row r="66" spans="1:11" x14ac:dyDescent="0.35">
      <c r="A66" t="s">
        <v>31</v>
      </c>
      <c r="B66">
        <v>3</v>
      </c>
      <c r="D66">
        <v>0</v>
      </c>
    </row>
    <row r="67" spans="1:11" x14ac:dyDescent="0.35">
      <c r="A67" t="s">
        <v>32</v>
      </c>
      <c r="B67">
        <v>1</v>
      </c>
      <c r="C67">
        <v>51.920999999999999</v>
      </c>
      <c r="D67">
        <v>3</v>
      </c>
      <c r="E67">
        <v>2</v>
      </c>
      <c r="F67">
        <v>16486</v>
      </c>
      <c r="G67">
        <v>16486</v>
      </c>
      <c r="H67">
        <v>21442</v>
      </c>
      <c r="I67">
        <v>18964</v>
      </c>
      <c r="J67">
        <v>18964</v>
      </c>
      <c r="K67">
        <v>2478</v>
      </c>
    </row>
    <row r="68" spans="1:11" x14ac:dyDescent="0.35">
      <c r="A68" t="s">
        <v>32</v>
      </c>
      <c r="B68">
        <v>2</v>
      </c>
      <c r="D68">
        <v>0</v>
      </c>
    </row>
    <row r="69" spans="1:11" x14ac:dyDescent="0.35">
      <c r="A69" t="s">
        <v>32</v>
      </c>
      <c r="B69">
        <v>3</v>
      </c>
    </row>
    <row r="70" spans="1:11" x14ac:dyDescent="0.35">
      <c r="A70" t="s">
        <v>34</v>
      </c>
      <c r="B70">
        <v>1</v>
      </c>
      <c r="D70">
        <v>0</v>
      </c>
    </row>
    <row r="71" spans="1:11" x14ac:dyDescent="0.35">
      <c r="A71" t="s">
        <v>34</v>
      </c>
      <c r="B71">
        <v>2</v>
      </c>
      <c r="D71">
        <v>0</v>
      </c>
    </row>
    <row r="72" spans="1:11" x14ac:dyDescent="0.35">
      <c r="A72" t="s">
        <v>34</v>
      </c>
      <c r="B72">
        <v>3</v>
      </c>
      <c r="D72">
        <v>0</v>
      </c>
    </row>
    <row r="73" spans="1:11" x14ac:dyDescent="0.35">
      <c r="A73" t="s">
        <v>35</v>
      </c>
      <c r="B73">
        <v>1</v>
      </c>
      <c r="D73">
        <v>0</v>
      </c>
    </row>
    <row r="74" spans="1:11" x14ac:dyDescent="0.35">
      <c r="A74" t="s">
        <v>35</v>
      </c>
      <c r="B74">
        <v>2</v>
      </c>
      <c r="D74">
        <v>0</v>
      </c>
    </row>
    <row r="75" spans="1:11" x14ac:dyDescent="0.35">
      <c r="A75" t="s">
        <v>35</v>
      </c>
      <c r="B75">
        <v>3</v>
      </c>
    </row>
    <row r="76" spans="1:11" x14ac:dyDescent="0.35">
      <c r="A76" t="s">
        <v>36</v>
      </c>
      <c r="B76">
        <v>1</v>
      </c>
      <c r="D76">
        <v>0</v>
      </c>
    </row>
    <row r="77" spans="1:11" x14ac:dyDescent="0.35">
      <c r="A77" t="s">
        <v>36</v>
      </c>
      <c r="B77">
        <v>2</v>
      </c>
      <c r="D77">
        <v>0</v>
      </c>
    </row>
    <row r="78" spans="1:11" x14ac:dyDescent="0.35">
      <c r="A78" t="s">
        <v>36</v>
      </c>
      <c r="B78">
        <v>3</v>
      </c>
      <c r="D78">
        <v>0</v>
      </c>
    </row>
    <row r="79" spans="1:11" x14ac:dyDescent="0.35">
      <c r="A79" t="s">
        <v>37</v>
      </c>
      <c r="B79">
        <v>1</v>
      </c>
      <c r="D79">
        <v>0</v>
      </c>
    </row>
    <row r="80" spans="1:11" x14ac:dyDescent="0.35">
      <c r="A80" t="s">
        <v>37</v>
      </c>
      <c r="B80">
        <v>2</v>
      </c>
      <c r="D80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E0065B-A1B3-4B50-A137-DB9A664653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Table 7</vt:lpstr>
      <vt:lpstr>LSP_All</vt:lpstr>
      <vt:lpstr>NFFT_All</vt:lpstr>
      <vt:lpstr>Table 8</vt:lpstr>
      <vt:lpstr>statistics-M4</vt:lpstr>
      <vt:lpstr>statistics-M5</vt:lpstr>
      <vt:lpstr>statistics-M6</vt:lpstr>
      <vt:lpstr>statistics-M7</vt:lpstr>
      <vt:lpstr>statistics-M8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h</dc:creator>
  <cp:lastModifiedBy>Eddie h</cp:lastModifiedBy>
  <dcterms:created xsi:type="dcterms:W3CDTF">2026-07-21T07:26:08Z</dcterms:created>
  <dcterms:modified xsi:type="dcterms:W3CDTF">2026-09-21T04:30:15Z</dcterms:modified>
</cp:coreProperties>
</file>