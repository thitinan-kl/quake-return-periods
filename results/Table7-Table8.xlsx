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edd\Desktop\Paper Earthquake\Projectv3-combine-all\result\"/>
    </mc:Choice>
  </mc:AlternateContent>
  <xr:revisionPtr revIDLastSave="0" documentId="13_ncr:1_{548436C8-9354-4943-94E4-04D23731F2C1}" xr6:coauthVersionLast="47" xr6:coauthVersionMax="47" xr10:uidLastSave="{00000000-0000-0000-0000-000000000000}"/>
  <bookViews>
    <workbookView xWindow="-110" yWindow="-110" windowWidth="19420" windowHeight="12220" firstSheet="1" activeTab="4" xr2:uid="{968A9C51-55EF-4642-A43E-730CC2993D21}"/>
  </bookViews>
  <sheets>
    <sheet name="Table 7" sheetId="1" r:id="rId1"/>
    <sheet name="LSP_All" sheetId="9" r:id="rId2"/>
    <sheet name="NFFT_All" sheetId="8" r:id="rId3"/>
    <sheet name="statistics-M4" sheetId="2" r:id="rId4"/>
    <sheet name="Table 8" sheetId="10" r:id="rId5"/>
    <sheet name="statistics-M5" sheetId="4" r:id="rId6"/>
    <sheet name="statistics-M6" sheetId="5" r:id="rId7"/>
    <sheet name="statistics-M7" sheetId="6" r:id="rId8"/>
    <sheet name="statistics-M8" sheetId="7" r:id="rId9"/>
  </sheets>
  <definedNames>
    <definedName name="ExternalData_1" localSheetId="1" hidden="1">LSP_All!$A$1:$G$69</definedName>
    <definedName name="ExternalData_1" localSheetId="2" hidden="1">NFFT_All!$A$1:$G$69</definedName>
    <definedName name="ExternalData_1" localSheetId="3" hidden="1">'statistics-M4'!$A$1:$K$80</definedName>
    <definedName name="ExternalData_1" localSheetId="5" hidden="1">'statistics-M5'!$A$1:$K$80</definedName>
    <definedName name="ExternalData_1" localSheetId="6" hidden="1">'statistics-M6'!$A$1:$K$80</definedName>
    <definedName name="ExternalData_1" localSheetId="7" hidden="1">'statistics-M7'!$A$1:$K$80</definedName>
    <definedName name="ExternalData_1" localSheetId="8" hidden="1">'statistics-M8'!$A$1:$K$80</definedName>
  </definedNames>
  <calcPr calcId="191029"/>
</workbook>
</file>

<file path=xl/calcChain.xml><?xml version="1.0" encoding="utf-8"?>
<calcChain xmlns="http://schemas.openxmlformats.org/spreadsheetml/2006/main">
  <c r="C13" i="10" l="1"/>
  <c r="D13" i="10"/>
  <c r="E13" i="10"/>
  <c r="F13" i="10"/>
  <c r="B13" i="10"/>
  <c r="Y69" i="9"/>
  <c r="Y68" i="9"/>
  <c r="Y67" i="9"/>
  <c r="Y66" i="9"/>
  <c r="Y65" i="9"/>
  <c r="Y64" i="9"/>
  <c r="Y63" i="9"/>
  <c r="Y62" i="9"/>
  <c r="Y61" i="9"/>
  <c r="Y60" i="9"/>
  <c r="Y59" i="9"/>
  <c r="Y58" i="9"/>
  <c r="Y57" i="9"/>
  <c r="Y56" i="9"/>
  <c r="Y55" i="9"/>
  <c r="Y54" i="9"/>
  <c r="Y53" i="9"/>
  <c r="Y52" i="9"/>
  <c r="Y51" i="9"/>
  <c r="Y50" i="9"/>
  <c r="Y49" i="9"/>
  <c r="Y48" i="9"/>
  <c r="Y47" i="9"/>
  <c r="Y46" i="9"/>
  <c r="Y45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30" i="9"/>
  <c r="Y29" i="9"/>
  <c r="Y28" i="9"/>
  <c r="Y27" i="9"/>
  <c r="Y26" i="9"/>
  <c r="Y25" i="9"/>
  <c r="Y24" i="9"/>
  <c r="Y23" i="9"/>
  <c r="Y22" i="9"/>
  <c r="Y21" i="9"/>
  <c r="Y20" i="9"/>
  <c r="Y19" i="9"/>
  <c r="Y18" i="9"/>
  <c r="Y17" i="9"/>
  <c r="Y16" i="9"/>
  <c r="Y15" i="9"/>
  <c r="Y14" i="9"/>
  <c r="Y13" i="9"/>
  <c r="Y12" i="9"/>
  <c r="Y11" i="9"/>
  <c r="Y10" i="9"/>
  <c r="Y9" i="9"/>
  <c r="Y8" i="9"/>
  <c r="Y7" i="9"/>
  <c r="Y6" i="9"/>
  <c r="Y70" i="9" s="1"/>
  <c r="Y5" i="9"/>
  <c r="Y4" i="9"/>
  <c r="Y3" i="9"/>
  <c r="Y2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/>
  <c r="X8" i="9"/>
  <c r="X7" i="9"/>
  <c r="X6" i="9"/>
  <c r="X70" i="9" s="1"/>
  <c r="X5" i="9"/>
  <c r="X4" i="9"/>
  <c r="X3" i="9"/>
  <c r="X2" i="9"/>
  <c r="W69" i="9"/>
  <c r="W68" i="9"/>
  <c r="W67" i="9"/>
  <c r="W66" i="9"/>
  <c r="W65" i="9"/>
  <c r="W64" i="9"/>
  <c r="W63" i="9"/>
  <c r="W62" i="9"/>
  <c r="W61" i="9"/>
  <c r="W60" i="9"/>
  <c r="W59" i="9"/>
  <c r="W58" i="9"/>
  <c r="W57" i="9"/>
  <c r="W56" i="9"/>
  <c r="W55" i="9"/>
  <c r="W54" i="9"/>
  <c r="W53" i="9"/>
  <c r="W52" i="9"/>
  <c r="W51" i="9"/>
  <c r="W50" i="9"/>
  <c r="W49" i="9"/>
  <c r="W48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70" i="9" s="1"/>
  <c r="W5" i="9"/>
  <c r="W4" i="9"/>
  <c r="W3" i="9"/>
  <c r="W2" i="9"/>
  <c r="V69" i="9"/>
  <c r="V68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V43" i="9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8" i="9"/>
  <c r="V27" i="9"/>
  <c r="V26" i="9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70" i="9" s="1"/>
  <c r="V5" i="9"/>
  <c r="V4" i="9"/>
  <c r="V3" i="9"/>
  <c r="V2" i="9"/>
  <c r="U69" i="9"/>
  <c r="U68" i="9"/>
  <c r="U67" i="9"/>
  <c r="U66" i="9"/>
  <c r="U65" i="9"/>
  <c r="U64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3" i="9"/>
  <c r="U4" i="9"/>
  <c r="U5" i="9"/>
  <c r="U6" i="9"/>
  <c r="U7" i="9"/>
  <c r="U8" i="9"/>
  <c r="U9" i="9"/>
  <c r="U2" i="9"/>
  <c r="C12" i="10"/>
  <c r="D12" i="10"/>
  <c r="E12" i="10"/>
  <c r="F12" i="10"/>
  <c r="B12" i="10"/>
  <c r="S69" i="9"/>
  <c r="S68" i="9"/>
  <c r="S67" i="9"/>
  <c r="S66" i="9"/>
  <c r="S65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70" i="9" s="1"/>
  <c r="S5" i="9"/>
  <c r="S4" i="9"/>
  <c r="S3" i="9"/>
  <c r="S2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70" i="9" s="1"/>
  <c r="R3" i="9"/>
  <c r="R2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70" i="9" s="1"/>
  <c r="Q5" i="9"/>
  <c r="Q4" i="9"/>
  <c r="Q3" i="9"/>
  <c r="Q2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70" i="9" s="1"/>
  <c r="P5" i="9"/>
  <c r="P4" i="9"/>
  <c r="P3" i="9"/>
  <c r="P2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3" i="9"/>
  <c r="O4" i="9"/>
  <c r="O5" i="9"/>
  <c r="O6" i="9"/>
  <c r="O7" i="9"/>
  <c r="O8" i="9"/>
  <c r="O9" i="9"/>
  <c r="O2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70" i="9" s="1"/>
  <c r="F11" i="10" s="1"/>
  <c r="M5" i="9"/>
  <c r="M4" i="9"/>
  <c r="M3" i="9"/>
  <c r="M2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70" i="9" s="1"/>
  <c r="E11" i="10" s="1"/>
  <c r="L5" i="9"/>
  <c r="L4" i="9"/>
  <c r="L3" i="9"/>
  <c r="L2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70" i="9" s="1"/>
  <c r="D11" i="10" s="1"/>
  <c r="K5" i="9"/>
  <c r="K4" i="9"/>
  <c r="K3" i="9"/>
  <c r="K2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70" i="9" s="1"/>
  <c r="C11" i="10" s="1"/>
  <c r="J5" i="9"/>
  <c r="J4" i="9"/>
  <c r="J3" i="9"/>
  <c r="J2" i="9"/>
  <c r="B11" i="10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3" i="9"/>
  <c r="I4" i="9"/>
  <c r="I5" i="9"/>
  <c r="I6" i="9"/>
  <c r="I7" i="9"/>
  <c r="I8" i="9"/>
  <c r="I9" i="9"/>
  <c r="I2" i="9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  <c r="Y70" i="8" s="1"/>
  <c r="F10" i="10" s="1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X2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W2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U70" i="9" l="1"/>
  <c r="O70" i="9"/>
  <c r="I70" i="9"/>
  <c r="X70" i="8"/>
  <c r="E10" i="10" s="1"/>
  <c r="V70" i="8"/>
  <c r="C10" i="10" s="1"/>
  <c r="W70" i="8"/>
  <c r="D10" i="10" s="1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3" i="8"/>
  <c r="U4" i="8"/>
  <c r="U5" i="8"/>
  <c r="U6" i="8"/>
  <c r="U7" i="8"/>
  <c r="U8" i="8"/>
  <c r="U9" i="8"/>
  <c r="U2" i="8"/>
  <c r="U70" i="8" l="1"/>
  <c r="B10" i="10" s="1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S2" i="8"/>
  <c r="S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2" i="8"/>
  <c r="R70" i="8" l="1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Q70" i="8" l="1"/>
  <c r="D9" i="10" s="1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E9" i="10"/>
  <c r="F9" i="10"/>
  <c r="P70" i="8" l="1"/>
  <c r="C9" i="10" s="1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3" i="8"/>
  <c r="O4" i="8"/>
  <c r="O5" i="8"/>
  <c r="O6" i="8"/>
  <c r="O7" i="8"/>
  <c r="O8" i="8"/>
  <c r="O9" i="8"/>
  <c r="O2" i="8"/>
  <c r="O70" i="8" l="1"/>
  <c r="B9" i="10" s="1"/>
  <c r="M69" i="8" l="1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M70" i="8" s="1"/>
  <c r="F8" i="10" s="1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37" i="8"/>
  <c r="J36" i="8"/>
  <c r="J35" i="8"/>
  <c r="J23" i="8"/>
  <c r="J24" i="8"/>
  <c r="J25" i="8"/>
  <c r="J26" i="8"/>
  <c r="J27" i="8"/>
  <c r="J28" i="8"/>
  <c r="J29" i="8"/>
  <c r="J30" i="8"/>
  <c r="J31" i="8"/>
  <c r="J32" i="8"/>
  <c r="J33" i="8"/>
  <c r="J34" i="8"/>
  <c r="J22" i="8"/>
  <c r="J12" i="8"/>
  <c r="J13" i="8"/>
  <c r="J14" i="8"/>
  <c r="J15" i="8"/>
  <c r="J16" i="8"/>
  <c r="J17" i="8"/>
  <c r="J18" i="8"/>
  <c r="J19" i="8"/>
  <c r="J20" i="8"/>
  <c r="J21" i="8"/>
  <c r="J11" i="8"/>
  <c r="J10" i="8"/>
  <c r="L70" i="8" l="1"/>
  <c r="K70" i="8"/>
  <c r="C25" i="1"/>
  <c r="J63" i="8" l="1"/>
  <c r="J66" i="8"/>
  <c r="J67" i="8"/>
  <c r="J68" i="8"/>
  <c r="J69" i="8"/>
  <c r="J65" i="8"/>
  <c r="J61" i="8"/>
  <c r="J62" i="8"/>
  <c r="J64" i="8"/>
  <c r="J60" i="8"/>
  <c r="J56" i="8"/>
  <c r="J57" i="8"/>
  <c r="J58" i="8"/>
  <c r="J59" i="8"/>
  <c r="J55" i="8"/>
  <c r="J52" i="8"/>
  <c r="J53" i="8"/>
  <c r="J54" i="8"/>
  <c r="J51" i="8"/>
  <c r="J9" i="8" l="1"/>
  <c r="J8" i="8"/>
  <c r="J7" i="8"/>
  <c r="J6" i="8"/>
  <c r="J5" i="8"/>
  <c r="J4" i="8"/>
  <c r="J3" i="8"/>
  <c r="J2" i="8"/>
  <c r="D8" i="10"/>
  <c r="E8" i="10"/>
  <c r="I66" i="8"/>
  <c r="I67" i="8"/>
  <c r="I68" i="8"/>
  <c r="I69" i="8"/>
  <c r="I65" i="8"/>
  <c r="I61" i="8"/>
  <c r="I62" i="8"/>
  <c r="I63" i="8"/>
  <c r="I64" i="8"/>
  <c r="I60" i="8"/>
  <c r="I56" i="8"/>
  <c r="I57" i="8"/>
  <c r="I58" i="8"/>
  <c r="I59" i="8"/>
  <c r="I55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37" i="8"/>
  <c r="I36" i="8"/>
  <c r="I35" i="8"/>
  <c r="I23" i="8"/>
  <c r="I24" i="8"/>
  <c r="I25" i="8"/>
  <c r="I26" i="8"/>
  <c r="I27" i="8"/>
  <c r="I28" i="8"/>
  <c r="I29" i="8"/>
  <c r="I30" i="8"/>
  <c r="I31" i="8"/>
  <c r="I32" i="8"/>
  <c r="I33" i="8"/>
  <c r="I34" i="8"/>
  <c r="I22" i="8"/>
  <c r="I12" i="8"/>
  <c r="I13" i="8"/>
  <c r="I14" i="8"/>
  <c r="I15" i="8"/>
  <c r="I16" i="8"/>
  <c r="I17" i="8"/>
  <c r="I18" i="8"/>
  <c r="I19" i="8"/>
  <c r="I20" i="8"/>
  <c r="I21" i="8"/>
  <c r="I11" i="8"/>
  <c r="I10" i="8"/>
  <c r="I3" i="8"/>
  <c r="I4" i="8"/>
  <c r="I5" i="8"/>
  <c r="I6" i="8"/>
  <c r="I7" i="8"/>
  <c r="I8" i="8"/>
  <c r="I9" i="8"/>
  <c r="J70" i="8" l="1"/>
  <c r="C8" i="10" s="1"/>
  <c r="I2" i="8"/>
  <c r="I70" i="8" s="1"/>
  <c r="B8" i="10" s="1"/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G36" i="1"/>
  <c r="F36" i="1"/>
  <c r="E36" i="1"/>
  <c r="D36" i="1"/>
  <c r="C36" i="1"/>
  <c r="G31" i="1"/>
  <c r="F31" i="1"/>
  <c r="E31" i="1"/>
  <c r="D31" i="1"/>
  <c r="C31" i="1"/>
  <c r="G26" i="1"/>
  <c r="F26" i="1"/>
  <c r="E26" i="1"/>
  <c r="D26" i="1"/>
  <c r="C26" i="1"/>
  <c r="G21" i="1"/>
  <c r="F21" i="1"/>
  <c r="E21" i="1"/>
  <c r="D21" i="1"/>
  <c r="C21" i="1"/>
  <c r="G16" i="1"/>
  <c r="F16" i="1"/>
  <c r="E16" i="1"/>
  <c r="D16" i="1"/>
  <c r="C16" i="1"/>
  <c r="G11" i="1"/>
  <c r="F11" i="1"/>
  <c r="E11" i="1"/>
  <c r="D11" i="1"/>
  <c r="C11" i="1"/>
  <c r="G6" i="1"/>
  <c r="F6" i="1"/>
  <c r="E6" i="1"/>
  <c r="D6" i="1"/>
  <c r="C6" i="1"/>
  <c r="G35" i="1"/>
  <c r="F35" i="1"/>
  <c r="E35" i="1"/>
  <c r="D35" i="1"/>
  <c r="C35" i="1"/>
  <c r="G30" i="1"/>
  <c r="F30" i="1"/>
  <c r="E30" i="1"/>
  <c r="D30" i="1"/>
  <c r="C30" i="1"/>
  <c r="G25" i="1"/>
  <c r="F25" i="1"/>
  <c r="E25" i="1"/>
  <c r="D25" i="1"/>
  <c r="G20" i="1"/>
  <c r="F20" i="1"/>
  <c r="E20" i="1"/>
  <c r="D20" i="1"/>
  <c r="C20" i="1"/>
  <c r="G15" i="1"/>
  <c r="F15" i="1"/>
  <c r="E15" i="1"/>
  <c r="D15" i="1"/>
  <c r="C15" i="1"/>
  <c r="G10" i="1"/>
  <c r="F10" i="1"/>
  <c r="E10" i="1"/>
  <c r="D10" i="1"/>
  <c r="C10" i="1"/>
  <c r="G5" i="1"/>
  <c r="F5" i="1"/>
  <c r="E5" i="1"/>
  <c r="D5" i="1"/>
  <c r="C5" i="1"/>
  <c r="C3" i="1"/>
  <c r="C2" i="1"/>
  <c r="G34" i="1"/>
  <c r="G33" i="1"/>
  <c r="G32" i="1"/>
  <c r="G29" i="1"/>
  <c r="G28" i="1"/>
  <c r="G27" i="1"/>
  <c r="G24" i="1"/>
  <c r="G23" i="1"/>
  <c r="G22" i="1"/>
  <c r="G19" i="1"/>
  <c r="G18" i="1"/>
  <c r="G17" i="1"/>
  <c r="G14" i="1"/>
  <c r="G13" i="1"/>
  <c r="G12" i="1"/>
  <c r="G9" i="1"/>
  <c r="G8" i="1"/>
  <c r="G7" i="1"/>
  <c r="G4" i="1"/>
  <c r="G3" i="1"/>
  <c r="G2" i="1"/>
  <c r="F34" i="1"/>
  <c r="F33" i="1"/>
  <c r="F32" i="1"/>
  <c r="F29" i="1"/>
  <c r="F28" i="1"/>
  <c r="F27" i="1"/>
  <c r="F24" i="1"/>
  <c r="F23" i="1"/>
  <c r="F22" i="1"/>
  <c r="F19" i="1"/>
  <c r="F18" i="1"/>
  <c r="F17" i="1"/>
  <c r="F14" i="1"/>
  <c r="F13" i="1"/>
  <c r="F12" i="1"/>
  <c r="F9" i="1"/>
  <c r="F8" i="1"/>
  <c r="F7" i="1"/>
  <c r="F4" i="1"/>
  <c r="F3" i="1"/>
  <c r="F2" i="1"/>
  <c r="E34" i="1"/>
  <c r="E33" i="1"/>
  <c r="E32" i="1"/>
  <c r="E29" i="1"/>
  <c r="E28" i="1"/>
  <c r="E27" i="1"/>
  <c r="E24" i="1"/>
  <c r="E23" i="1"/>
  <c r="E22" i="1"/>
  <c r="E19" i="1"/>
  <c r="E18" i="1"/>
  <c r="E17" i="1"/>
  <c r="E14" i="1"/>
  <c r="E13" i="1"/>
  <c r="E12" i="1"/>
  <c r="E9" i="1"/>
  <c r="E8" i="1"/>
  <c r="E7" i="1"/>
  <c r="E4" i="1"/>
  <c r="E3" i="1"/>
  <c r="E2" i="1"/>
  <c r="D34" i="1"/>
  <c r="D33" i="1"/>
  <c r="D32" i="1"/>
  <c r="D29" i="1"/>
  <c r="D28" i="1"/>
  <c r="D27" i="1"/>
  <c r="D24" i="1"/>
  <c r="D23" i="1"/>
  <c r="D22" i="1"/>
  <c r="D19" i="1"/>
  <c r="D18" i="1"/>
  <c r="D17" i="1"/>
  <c r="D14" i="1"/>
  <c r="D13" i="1"/>
  <c r="D12" i="1"/>
  <c r="D9" i="1"/>
  <c r="D8" i="1"/>
  <c r="D7" i="1"/>
  <c r="D4" i="1"/>
  <c r="D3" i="1"/>
  <c r="D2" i="1"/>
  <c r="C34" i="1"/>
  <c r="C33" i="1"/>
  <c r="C32" i="1"/>
  <c r="C29" i="1"/>
  <c r="C28" i="1"/>
  <c r="C27" i="1"/>
  <c r="C24" i="1"/>
  <c r="C23" i="1"/>
  <c r="C22" i="1"/>
  <c r="C19" i="1"/>
  <c r="C18" i="1"/>
  <c r="C17" i="1"/>
  <c r="C14" i="1"/>
  <c r="C13" i="1"/>
  <c r="C12" i="1"/>
  <c r="C9" i="1"/>
  <c r="C8" i="1"/>
  <c r="C7" i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69B5AA-94EC-4B3F-A0AA-CA39E406D0A0}" keepAlive="1" name="Query - LSP_All" description="Connection to the 'LSP_All' query in the workbook." type="5" refreshedVersion="8" background="1" saveData="1">
    <dbPr connection="Provider=Microsoft.Mashup.OleDb.1;Data Source=$Workbook$;Location=LSP_All;Extended Properties=&quot;&quot;" command="SELECT * FROM [LSP_All]"/>
  </connection>
  <connection id="2" xr16:uid="{3DC81770-9B3B-438D-A33F-DF266A5661FA}" keepAlive="1" name="Query - NFFT_All" description="Connection to the 'NFFT_All' query in the workbook." type="5" refreshedVersion="8" background="1" saveData="1">
    <dbPr connection="Provider=Microsoft.Mashup.OleDb.1;Data Source=$Workbook$;Location=NFFT_All;Extended Properties=&quot;&quot;" command="SELECT * FROM [NFFT_All]"/>
  </connection>
  <connection id="3" xr16:uid="{17271B3A-C1F5-430E-8F91-5CA5166D24F0}" keepAlive="1" name="Query - statistics-M4" description="Connection to the 'statistics-M4' query in the workbook." type="5" refreshedVersion="8" background="1" saveData="1">
    <dbPr connection="Provider=Microsoft.Mashup.OleDb.1;Data Source=$Workbook$;Location=statistics-M4;Extended Properties=&quot;&quot;" command="SELECT * FROM [statistics-M4]"/>
  </connection>
  <connection id="4" xr16:uid="{9BBA20D5-470D-4DCC-93CC-99AAA5C6F5F5}" keepAlive="1" name="Query - statistics-M5" description="Connection to the 'statistics-M5' query in the workbook." type="5" refreshedVersion="8" background="1" saveData="1">
    <dbPr connection="Provider=Microsoft.Mashup.OleDb.1;Data Source=$Workbook$;Location=statistics-M5;Extended Properties=&quot;&quot;" command="SELECT * FROM [statistics-M5]"/>
  </connection>
  <connection id="5" xr16:uid="{643E5AD9-3CB6-4F8C-A257-F0A431E86E5A}" keepAlive="1" name="Query - statistics-M6" description="Connection to the 'statistics-M6' query in the workbook." type="5" refreshedVersion="8" background="1" saveData="1">
    <dbPr connection="Provider=Microsoft.Mashup.OleDb.1;Data Source=$Workbook$;Location=statistics-M6;Extended Properties=&quot;&quot;" command="SELECT * FROM [statistics-M6]"/>
  </connection>
  <connection id="6" xr16:uid="{E0FB463E-4132-4807-BA2C-C08CE04C41D7}" keepAlive="1" name="Query - statistics-M7" description="Connection to the 'statistics-M7' query in the workbook." type="5" refreshedVersion="8" background="1" saveData="1">
    <dbPr connection="Provider=Microsoft.Mashup.OleDb.1;Data Source=$Workbook$;Location=statistics-M7;Extended Properties=&quot;&quot;" command="SELECT * FROM [statistics-M7]"/>
  </connection>
  <connection id="7" xr16:uid="{56A1787E-4A98-439F-811F-35385780C126}" keepAlive="1" name="Query - statistics-M8" description="Connection to the 'statistics-M8' query in the workbook." type="5" refreshedVersion="8" background="1" saveData="1">
    <dbPr connection="Provider=Microsoft.Mashup.OleDb.1;Data Source=$Workbook$;Location=statistics-M8;Extended Properties=&quot;&quot;" command="SELECT * FROM [statistics-M8]"/>
  </connection>
</connections>
</file>

<file path=xl/sharedStrings.xml><?xml version="1.0" encoding="utf-8"?>
<sst xmlns="http://schemas.openxmlformats.org/spreadsheetml/2006/main" count="765" uniqueCount="97">
  <si>
    <t>country</t>
  </si>
  <si>
    <t>cluster_id</t>
  </si>
  <si>
    <t>return_P</t>
  </si>
  <si>
    <t>total_earthquakes</t>
  </si>
  <si>
    <t>exact_mode</t>
  </si>
  <si>
    <t>mean_gap</t>
  </si>
  <si>
    <t>median_gap</t>
  </si>
  <si>
    <t>NFFT</t>
  </si>
  <si>
    <t>LSP</t>
  </si>
  <si>
    <t>Japan</t>
  </si>
  <si>
    <t>Papua New Guinea</t>
  </si>
  <si>
    <t>Philippines</t>
  </si>
  <si>
    <t>Tonga</t>
  </si>
  <si>
    <t>USA</t>
  </si>
  <si>
    <t>Mexico</t>
  </si>
  <si>
    <t>Canada</t>
  </si>
  <si>
    <t>Guatemala</t>
  </si>
  <si>
    <t>Russia</t>
  </si>
  <si>
    <t>China</t>
  </si>
  <si>
    <t>India</t>
  </si>
  <si>
    <t>Iran</t>
  </si>
  <si>
    <t>Nicaragua</t>
  </si>
  <si>
    <t>El Salvador</t>
  </si>
  <si>
    <t>Costa Rica</t>
  </si>
  <si>
    <t>Dominican</t>
  </si>
  <si>
    <t>Chile</t>
  </si>
  <si>
    <t>Argentina</t>
  </si>
  <si>
    <t>Peru</t>
  </si>
  <si>
    <t>Colombia</t>
  </si>
  <si>
    <t>Indonesia</t>
  </si>
  <si>
    <t>Timor Leste</t>
  </si>
  <si>
    <t>Australia</t>
  </si>
  <si>
    <t>New Zealand</t>
  </si>
  <si>
    <t>AVG</t>
  </si>
  <si>
    <t>Algeria</t>
  </si>
  <si>
    <t>Somalia</t>
  </si>
  <si>
    <t>South Africa</t>
  </si>
  <si>
    <t>Saint Helena</t>
  </si>
  <si>
    <t>total_gaps</t>
  </si>
  <si>
    <t>min_gap</t>
  </si>
  <si>
    <t>max_gap</t>
  </si>
  <si>
    <t>std_gap</t>
  </si>
  <si>
    <t>Pacific Plate</t>
  </si>
  <si>
    <t>M4+</t>
  </si>
  <si>
    <t>M5+</t>
  </si>
  <si>
    <t>M6+</t>
  </si>
  <si>
    <t>M7+</t>
  </si>
  <si>
    <t>M8+</t>
  </si>
  <si>
    <t>statistical mean</t>
  </si>
  <si>
    <t>statistical mode</t>
  </si>
  <si>
    <t>statistical median</t>
  </si>
  <si>
    <t>North American Plate</t>
  </si>
  <si>
    <t>Eurasian Plate</t>
  </si>
  <si>
    <t>Caribbean Plate</t>
  </si>
  <si>
    <t>South American Plate</t>
  </si>
  <si>
    <t>Indo-Australian Plate</t>
  </si>
  <si>
    <t>African Plate</t>
  </si>
  <si>
    <t/>
  </si>
  <si>
    <t xml:space="preserve"> </t>
  </si>
  <si>
    <t>Alignment Test</t>
  </si>
  <si>
    <t>Average Difference by Country (Yrs)</t>
  </si>
  <si>
    <t>| NFFT - mean |</t>
  </si>
  <si>
    <t>| NFFT - mode |</t>
  </si>
  <si>
    <t>| NFFT - median |</t>
  </si>
  <si>
    <t>| LSP – mean |</t>
  </si>
  <si>
    <t>| LSP – mode |</t>
  </si>
  <si>
    <t>| LSP – median |</t>
  </si>
  <si>
    <t>M4-NFFT-mean</t>
  </si>
  <si>
    <t>M8-NFFT-mean</t>
  </si>
  <si>
    <t>M5-NFFT-mean</t>
  </si>
  <si>
    <t>M6-NFFT-mean</t>
  </si>
  <si>
    <t>M7-NFFT-mean</t>
  </si>
  <si>
    <t>M4-NFFT-mode</t>
  </si>
  <si>
    <t>M5-NFFT-mode</t>
  </si>
  <si>
    <t>M6-NFFT-mode</t>
  </si>
  <si>
    <t>M7-NFFT-mode</t>
  </si>
  <si>
    <t>M8-NFFT-mode</t>
  </si>
  <si>
    <t>M4-NFFT-med</t>
  </si>
  <si>
    <t>M5-NFFT-med</t>
  </si>
  <si>
    <t>M6-NFFT-med</t>
  </si>
  <si>
    <t>M7-NFFT-med</t>
  </si>
  <si>
    <t>M8-NFFT-med</t>
  </si>
  <si>
    <t>M4-LSP-mean</t>
  </si>
  <si>
    <t>M5-LSP-mean</t>
  </si>
  <si>
    <t>M6-LSP-mean</t>
  </si>
  <si>
    <t>M7-LSP-mean</t>
  </si>
  <si>
    <t>M8-LSP-mean</t>
  </si>
  <si>
    <t>M4-LSP-mode</t>
  </si>
  <si>
    <t>M5-LSP-mode</t>
  </si>
  <si>
    <t>M6-LSP-mode</t>
  </si>
  <si>
    <t>M7-LSP-mode</t>
  </si>
  <si>
    <t>M8-LSP-mode</t>
  </si>
  <si>
    <t>M4-LSP-med</t>
  </si>
  <si>
    <t>M5-LSP-med</t>
  </si>
  <si>
    <t>M6-LSP-med</t>
  </si>
  <si>
    <t>M7-LSP-med</t>
  </si>
  <si>
    <t>M8-LSP-med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</si>
</sst>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 applyAlignment="1">
      <alignment horizontal="center"/>
    </xf>
    <xf numFmtId="164" fontId="0" fillId="0" borderId="0" xfId="0" applyNumberFormat="1"/>
    <xf numFmtId="164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4B8B97-46B6-4DAB-B56B-1DA04827DD5D}" autoFormatId="16" applyNumberFormats="0" applyBorderFormats="0" applyFontFormats="0" applyPatternFormats="0" applyAlignmentFormats="0" applyWidthHeightFormats="0">
  <queryTableRefresh nextId="8">
    <queryTableFields count="7">
      <queryTableField id="1" name="country" tableColumnId="1"/>
      <queryTableField id="2" name="cluster_id" tableColumnId="2"/>
      <queryTableField id="3" name="M4+" tableColumnId="3"/>
      <queryTableField id="4" name="M5+" tableColumnId="4"/>
      <queryTableField id="5" name="M6+" tableColumnId="5"/>
      <queryTableField id="6" name="M7+" tableColumnId="6"/>
      <queryTableField id="7" name="M8+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350C97-56F9-431C-BE07-1A953F6EDB05}" autoFormatId="16" applyNumberFormats="0" applyBorderFormats="0" applyFontFormats="0" applyPatternFormats="0" applyAlignmentFormats="0" applyWidthHeightFormats="0">
  <queryTableRefresh nextId="8">
    <queryTableFields count="7">
      <queryTableField id="1" name="country" tableColumnId="1"/>
      <queryTableField id="2" name="cluster_id" tableColumnId="2"/>
      <queryTableField id="3" name="M4+" tableColumnId="3"/>
      <queryTableField id="4" name="M5+" tableColumnId="4"/>
      <queryTableField id="5" name="M6+" tableColumnId="5"/>
      <queryTableField id="6" name="M7+" tableColumnId="6"/>
      <queryTableField id="7" name="M8+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56C425-57F1-4891-85EC-98AAEFE92C47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cluster_id" tableColumnId="2"/>
      <queryTableField id="3" name="return_P" tableColumnId="3"/>
      <queryTableField id="4" name="total_earthquakes" tableColumnId="4"/>
      <queryTableField id="5" name="total_gaps" tableColumnId="5"/>
      <queryTableField id="6" name="exact_mode" tableColumnId="6"/>
      <queryTableField id="7" name="min_gap" tableColumnId="7"/>
      <queryTableField id="8" name="max_gap" tableColumnId="8"/>
      <queryTableField id="9" name="mean_gap" tableColumnId="9"/>
      <queryTableField id="10" name="median_gap" tableColumnId="10"/>
      <queryTableField id="11" name="std_gap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615A7D6-2D9A-4A08-8515-9EF35156AA3C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cluster_id" tableColumnId="2"/>
      <queryTableField id="3" name="return_P" tableColumnId="3"/>
      <queryTableField id="4" name="total_earthquakes" tableColumnId="4"/>
      <queryTableField id="5" name="total_gaps" tableColumnId="5"/>
      <queryTableField id="6" name="exact_mode" tableColumnId="6"/>
      <queryTableField id="7" name="min_gap" tableColumnId="7"/>
      <queryTableField id="8" name="max_gap" tableColumnId="8"/>
      <queryTableField id="9" name="mean_gap" tableColumnId="9"/>
      <queryTableField id="10" name="median_gap" tableColumnId="10"/>
      <queryTableField id="11" name="std_gap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2AF2988-C057-4D75-A414-6DF882EBDC1A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cluster_id" tableColumnId="2"/>
      <queryTableField id="3" name="return_P" tableColumnId="3"/>
      <queryTableField id="4" name="total_earthquakes" tableColumnId="4"/>
      <queryTableField id="5" name="total_gaps" tableColumnId="5"/>
      <queryTableField id="6" name="exact_mode" tableColumnId="6"/>
      <queryTableField id="7" name="min_gap" tableColumnId="7"/>
      <queryTableField id="8" name="max_gap" tableColumnId="8"/>
      <queryTableField id="9" name="mean_gap" tableColumnId="9"/>
      <queryTableField id="10" name="median_gap" tableColumnId="10"/>
      <queryTableField id="11" name="std_gap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4D0810D-28C1-4038-8894-97B0D82D5660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cluster_id" tableColumnId="2"/>
      <queryTableField id="3" name="return_P" tableColumnId="3"/>
      <queryTableField id="4" name="total_earthquakes" tableColumnId="4"/>
      <queryTableField id="5" name="total_gaps" tableColumnId="5"/>
      <queryTableField id="6" name="exact_mode" tableColumnId="6"/>
      <queryTableField id="7" name="min_gap" tableColumnId="7"/>
      <queryTableField id="8" name="max_gap" tableColumnId="8"/>
      <queryTableField id="9" name="mean_gap" tableColumnId="9"/>
      <queryTableField id="10" name="median_gap" tableColumnId="10"/>
      <queryTableField id="11" name="std_gap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47961FC-C16C-4510-8D82-88CDABBBE2A0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cluster_id" tableColumnId="2"/>
      <queryTableField id="3" name="return_P" tableColumnId="3"/>
      <queryTableField id="4" name="total_earthquakes" tableColumnId="4"/>
      <queryTableField id="5" name="total_gaps" tableColumnId="5"/>
      <queryTableField id="6" name="exact_mode" tableColumnId="6"/>
      <queryTableField id="7" name="min_gap" tableColumnId="7"/>
      <queryTableField id="8" name="max_gap" tableColumnId="8"/>
      <queryTableField id="9" name="mean_gap" tableColumnId="9"/>
      <queryTableField id="10" name="median_gap" tableColumnId="10"/>
      <queryTableField id="11" name="std_gap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D0D1A4-50CC-4980-8499-AA0F4572624F}" name="LSP_All" displayName="LSP_All" ref="A1:G69" tableType="queryTable" totalsRowShown="0">
  <autoFilter ref="A1:G69" xr:uid="{96D0D1A4-50CC-4980-8499-AA0F4572624F}"/>
  <tableColumns count="7">
    <tableColumn id="1" xr3:uid="{272AAABC-D07A-4DC7-BD38-0975BD3CBA12}" uniqueName="1" name="country" queryTableFieldId="1" dataDxfId="7"/>
    <tableColumn id="2" xr3:uid="{256E4953-D209-4B8F-9BC5-16BF01E2CE54}" uniqueName="2" name="cluster_id" queryTableFieldId="2"/>
    <tableColumn id="3" xr3:uid="{2FEE080A-CA69-491E-B7AC-6D8AE6B50CC0}" uniqueName="3" name="M4+" queryTableFieldId="3"/>
    <tableColumn id="4" xr3:uid="{305A7BAF-1795-4B92-97AB-FDEAD94826FA}" uniqueName="4" name="M5+" queryTableFieldId="4"/>
    <tableColumn id="5" xr3:uid="{0F722300-7D20-43F1-87C2-ACC6A0494DA3}" uniqueName="5" name="M6+" queryTableFieldId="5"/>
    <tableColumn id="6" xr3:uid="{72CC92F3-9975-4E5D-88AE-8D94D2790D7B}" uniqueName="6" name="M7+" queryTableFieldId="6"/>
    <tableColumn id="7" xr3:uid="{EC139FA4-2833-46D8-BC15-E4139F9A53A2}" uniqueName="7" name="M8+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76E219-5411-42C9-A960-141CFDBFE15A}" name="NFFT_All" displayName="NFFT_All" ref="A1:G69" tableType="queryTable" totalsRowShown="0">
  <autoFilter ref="A1:G69" xr:uid="{9676E219-5411-42C9-A960-141CFDBFE15A}"/>
  <tableColumns count="7">
    <tableColumn id="1" xr3:uid="{0D94A547-39DA-4D5E-88B5-DEB03E910B4F}" uniqueName="1" name="country" queryTableFieldId="1" dataDxfId="6"/>
    <tableColumn id="2" xr3:uid="{AF819546-A771-4202-86C6-3F9E41A67C30}" uniqueName="2" name="cluster_id" queryTableFieldId="2"/>
    <tableColumn id="3" xr3:uid="{BAAD7701-38F7-4018-87C4-51C45EEADA8E}" uniqueName="3" name="M4+" queryTableFieldId="3"/>
    <tableColumn id="4" xr3:uid="{9CBB2941-406C-49CB-A23B-D58AC855B09D}" uniqueName="4" name="M5+" queryTableFieldId="4"/>
    <tableColumn id="5" xr3:uid="{D28A3287-F471-40D3-96BC-995BA44B563A}" uniqueName="5" name="M6+" queryTableFieldId="5"/>
    <tableColumn id="6" xr3:uid="{A214530B-EEC9-4E12-8CAF-6A6AAD6F9F0B}" uniqueName="6" name="M7+" queryTableFieldId="6"/>
    <tableColumn id="7" xr3:uid="{B87F64D1-0363-404F-91B5-F200896EE23C}" uniqueName="7" name="M8+" queryTableFieldId="7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00942-3167-4999-90CD-0EBA3877EA01}" name="statistics_M4" displayName="statistics_M4" ref="A1:K80" tableType="queryTable" totalsRowShown="0">
  <autoFilter ref="A1:K80" xr:uid="{01700942-3167-4999-90CD-0EBA3877EA01}"/>
  <tableColumns count="11">
    <tableColumn id="1" xr3:uid="{E56AB4C4-C1C3-46AD-9BB1-ED7FD07B0ED7}" uniqueName="1" name="country" queryTableFieldId="1" dataDxfId="4"/>
    <tableColumn id="2" xr3:uid="{2B0E6394-0259-4C71-A3BB-9058CC43389E}" uniqueName="2" name="cluster_id" queryTableFieldId="2"/>
    <tableColumn id="3" xr3:uid="{6B774DBF-624D-4AC3-84D1-3B2454B57706}" uniqueName="3" name="return_P" queryTableFieldId="3"/>
    <tableColumn id="4" xr3:uid="{EBAA532F-2932-4687-9A9A-EE1C4248FDCE}" uniqueName="4" name="total_earthquakes" queryTableFieldId="4"/>
    <tableColumn id="5" xr3:uid="{9CAAD8AE-495F-4466-A744-432027DD9931}" uniqueName="5" name="total_gaps" queryTableFieldId="5"/>
    <tableColumn id="6" xr3:uid="{2AD35BE8-8E45-41E8-A0F9-57FBDFEDA018}" uniqueName="6" name="exact_mode" queryTableFieldId="6"/>
    <tableColumn id="7" xr3:uid="{53EE359D-962C-4173-8D43-2A16B6EEBE39}" uniqueName="7" name="min_gap" queryTableFieldId="7"/>
    <tableColumn id="8" xr3:uid="{5221CCBC-BCB4-4D10-8267-F4B3AAE1221D}" uniqueName="8" name="max_gap" queryTableFieldId="8"/>
    <tableColumn id="9" xr3:uid="{EE206836-1EB1-4E9D-BC2F-E274DE578964}" uniqueName="9" name="mean_gap" queryTableFieldId="9"/>
    <tableColumn id="10" xr3:uid="{71B6D05F-EA6A-428B-A572-0055135C3511}" uniqueName="10" name="median_gap" queryTableFieldId="10"/>
    <tableColumn id="11" xr3:uid="{C685B97F-D589-4C75-9FC1-28DE281D5A98}" uniqueName="11" name="std_gap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22E034-2222-4230-A9AF-F80F4B2C8766}" name="statistics_M5" displayName="statistics_M5" ref="A1:K80" tableType="queryTable" totalsRowShown="0">
  <autoFilter ref="A1:K80" xr:uid="{6622E034-2222-4230-A9AF-F80F4B2C8766}"/>
  <tableColumns count="11">
    <tableColumn id="1" xr3:uid="{44517DEB-240F-4ACC-8227-59EA8C5D7F91}" uniqueName="1" name="country" queryTableFieldId="1" dataDxfId="3"/>
    <tableColumn id="2" xr3:uid="{1096B760-6BD2-4B9B-A48A-702459B2F8A3}" uniqueName="2" name="cluster_id" queryTableFieldId="2"/>
    <tableColumn id="3" xr3:uid="{45A9C6BE-EB36-45EA-A343-46B3F72ED308}" uniqueName="3" name="return_P" queryTableFieldId="3"/>
    <tableColumn id="4" xr3:uid="{8FA4A0B3-3B06-4BED-BB33-A4299B25D997}" uniqueName="4" name="total_earthquakes" queryTableFieldId="4"/>
    <tableColumn id="5" xr3:uid="{F5DD3EBD-7D5E-4981-B134-885B9EC278FC}" uniqueName="5" name="total_gaps" queryTableFieldId="5"/>
    <tableColumn id="6" xr3:uid="{0E1C484A-3C8C-45FA-8D93-2B10ABC02F0B}" uniqueName="6" name="exact_mode" queryTableFieldId="6"/>
    <tableColumn id="7" xr3:uid="{451414B4-C296-4666-8864-FD125287BDE9}" uniqueName="7" name="min_gap" queryTableFieldId="7"/>
    <tableColumn id="8" xr3:uid="{7EE58C9F-D8B0-4CB3-B894-80180DC8B286}" uniqueName="8" name="max_gap" queryTableFieldId="8"/>
    <tableColumn id="9" xr3:uid="{BB4FA2E1-F48D-44D1-8240-30F27D0425E7}" uniqueName="9" name="mean_gap" queryTableFieldId="9"/>
    <tableColumn id="10" xr3:uid="{6785B037-8A16-48C7-8C75-82455374FF46}" uniqueName="10" name="median_gap" queryTableFieldId="10"/>
    <tableColumn id="11" xr3:uid="{C38DB8EC-6574-4F70-8C4D-28668CC6DAA2}" uniqueName="11" name="std_gap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F1A9D9-697B-4640-A553-AFB14AD9C157}" name="statistics_M6" displayName="statistics_M6" ref="A1:K80" tableType="queryTable" totalsRowShown="0">
  <autoFilter ref="A1:K80" xr:uid="{C1F1A9D9-697B-4640-A553-AFB14AD9C157}"/>
  <tableColumns count="11">
    <tableColumn id="1" xr3:uid="{551DB455-3BA5-4E2F-AE5D-866E16938F7C}" uniqueName="1" name="country" queryTableFieldId="1" dataDxfId="2"/>
    <tableColumn id="2" xr3:uid="{03D528A1-65EF-40CF-8351-3979F7A3DFEE}" uniqueName="2" name="cluster_id" queryTableFieldId="2"/>
    <tableColumn id="3" xr3:uid="{EDCC48AB-1EAC-4C40-96BD-8CBC3588D2D8}" uniqueName="3" name="return_P" queryTableFieldId="3"/>
    <tableColumn id="4" xr3:uid="{655EDBBA-AEDE-453E-ABB0-F62665E721C5}" uniqueName="4" name="total_earthquakes" queryTableFieldId="4"/>
    <tableColumn id="5" xr3:uid="{C1AE5A0C-61A3-4A3A-A0CD-64D60DA85347}" uniqueName="5" name="total_gaps" queryTableFieldId="5"/>
    <tableColumn id="6" xr3:uid="{C1E57E8A-76AF-49AC-8581-A1C0DFAFF0A3}" uniqueName="6" name="exact_mode" queryTableFieldId="6"/>
    <tableColumn id="7" xr3:uid="{F0526843-B15F-4DD6-951B-F976AE9D523C}" uniqueName="7" name="min_gap" queryTableFieldId="7"/>
    <tableColumn id="8" xr3:uid="{6CA10BB2-77CB-4224-A79C-C9499781918E}" uniqueName="8" name="max_gap" queryTableFieldId="8"/>
    <tableColumn id="9" xr3:uid="{1C344877-4CF4-444F-8D98-6516FBC63414}" uniqueName="9" name="mean_gap" queryTableFieldId="9"/>
    <tableColumn id="10" xr3:uid="{CEF030E1-3AE6-441F-A177-E6044267A248}" uniqueName="10" name="median_gap" queryTableFieldId="10"/>
    <tableColumn id="11" xr3:uid="{54D6D8F9-71C1-4556-B000-ECA9BEB0D09A}" uniqueName="11" name="std_gap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93256A-C323-4628-B4D5-19F4794CD2EF}" name="statistics_M7" displayName="statistics_M7" ref="A1:K80" tableType="queryTable" totalsRowShown="0">
  <autoFilter ref="A1:K80" xr:uid="{6C93256A-C323-4628-B4D5-19F4794CD2EF}"/>
  <tableColumns count="11">
    <tableColumn id="1" xr3:uid="{01398267-8909-44C3-871D-CB8A494306D9}" uniqueName="1" name="country" queryTableFieldId="1" dataDxfId="1"/>
    <tableColumn id="2" xr3:uid="{C6B29CE9-353B-4C5B-8CE9-72DE17997375}" uniqueName="2" name="cluster_id" queryTableFieldId="2"/>
    <tableColumn id="3" xr3:uid="{27C9E28D-0C28-4D15-9D08-8CB04CC0E34E}" uniqueName="3" name="return_P" queryTableFieldId="3"/>
    <tableColumn id="4" xr3:uid="{F4878F7B-4837-4BCA-8DB7-2683939F14D0}" uniqueName="4" name="total_earthquakes" queryTableFieldId="4"/>
    <tableColumn id="5" xr3:uid="{6C64D1CB-5727-4981-B61E-D056223F5968}" uniqueName="5" name="total_gaps" queryTableFieldId="5"/>
    <tableColumn id="6" xr3:uid="{BA115C4D-F2F1-40AA-A3A3-5B76184C3CB8}" uniqueName="6" name="exact_mode" queryTableFieldId="6"/>
    <tableColumn id="7" xr3:uid="{E84D1430-097D-42F9-A317-79464B595E86}" uniqueName="7" name="min_gap" queryTableFieldId="7"/>
    <tableColumn id="8" xr3:uid="{0E454BA5-D62A-4CE8-B385-45536EDDEB02}" uniqueName="8" name="max_gap" queryTableFieldId="8"/>
    <tableColumn id="9" xr3:uid="{BF3A802E-A9EC-4DE2-A123-A312343259F7}" uniqueName="9" name="mean_gap" queryTableFieldId="9"/>
    <tableColumn id="10" xr3:uid="{C43CBE5E-732B-431D-B126-A689BC5313A9}" uniqueName="10" name="median_gap" queryTableFieldId="10"/>
    <tableColumn id="11" xr3:uid="{0359778B-1789-48D0-95CA-2A85300A3F3B}" uniqueName="11" name="std_gap" queryTableField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75075A-E620-4C73-8908-F691FD04000E}" name="statistics_M8" displayName="statistics_M8" ref="A1:K80" tableType="queryTable" totalsRowShown="0">
  <autoFilter ref="A1:K80" xr:uid="{FD75075A-E620-4C73-8908-F691FD04000E}"/>
  <tableColumns count="11">
    <tableColumn id="1" xr3:uid="{3604231E-ABEE-47B6-87E6-ED011780BFAD}" uniqueName="1" name="country" queryTableFieldId="1" dataDxfId="0"/>
    <tableColumn id="2" xr3:uid="{828C3FEC-1AC1-4829-8E72-9C4F179637A2}" uniqueName="2" name="cluster_id" queryTableFieldId="2"/>
    <tableColumn id="3" xr3:uid="{73DEE475-B9B7-4F55-A04F-67B2DEE30554}" uniqueName="3" name="return_P" queryTableFieldId="3"/>
    <tableColumn id="4" xr3:uid="{A9168E0F-C9C4-4174-841F-F11A5AB6DF03}" uniqueName="4" name="total_earthquakes" queryTableFieldId="4"/>
    <tableColumn id="5" xr3:uid="{48A65E03-911B-4CB0-9956-9C9EE71F5180}" uniqueName="5" name="total_gaps" queryTableFieldId="5"/>
    <tableColumn id="6" xr3:uid="{79FA3EFF-4693-486B-B685-46A9B4097077}" uniqueName="6" name="exact_mode" queryTableFieldId="6"/>
    <tableColumn id="7" xr3:uid="{6DA19960-EB5A-458C-894B-2FC3D9517D43}" uniqueName="7" name="min_gap" queryTableFieldId="7"/>
    <tableColumn id="8" xr3:uid="{92B1AF41-9404-49DF-9D9A-923ECC4E1B14}" uniqueName="8" name="max_gap" queryTableFieldId="8"/>
    <tableColumn id="9" xr3:uid="{BD406E5D-D5B7-4F99-AD1B-04F4D9D13647}" uniqueName="9" name="mean_gap" queryTableFieldId="9"/>
    <tableColumn id="10" xr3:uid="{5D5C6F56-99E6-4B2F-A0D5-604B42143E7A}" uniqueName="10" name="median_gap" queryTableFieldId="10"/>
    <tableColumn id="11" xr3:uid="{A39E3477-8438-4C75-9852-E0842A4FDAF4}" uniqueName="11" name="std_gap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FCCA-B3FA-4800-BA4D-D2A88F076144}">
  <dimension ref="A1:G36"/>
  <sheetViews>
    <sheetView topLeftCell="A28" workbookViewId="0">
      <selection activeCell="F30" sqref="F30"/>
    </sheetView>
  </sheetViews>
  <sheetFormatPr defaultRowHeight="14.5" x14ac:dyDescent="0.35"/>
  <cols>
    <col min="1" max="1" width="18.7265625" bestFit="1" customWidth="1"/>
    <col min="2" max="2" width="16.36328125" customWidth="1"/>
  </cols>
  <sheetData>
    <row r="1" spans="1:7" x14ac:dyDescent="0.35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35">
      <c r="A2" t="s">
        <v>42</v>
      </c>
      <c r="B2" t="s">
        <v>48</v>
      </c>
      <c r="C2" s="2">
        <f>ROUND(AVERAGE('statistics-M4'!$I$2:$I$13)/365,3)</f>
        <v>1.718</v>
      </c>
      <c r="D2" s="2">
        <f>ROUND(AVERAGE('statistics-M5'!$I$2:$I$13)/365,3)</f>
        <v>2.1930000000000001</v>
      </c>
      <c r="E2" s="2">
        <f>ROUND(AVERAGE('statistics-M6'!$I$2:$I$13)/365,3)</f>
        <v>10.64</v>
      </c>
      <c r="F2" s="2">
        <f>ROUND(AVERAGE('statistics-M7'!$I$2:$I$13)/365,3)</f>
        <v>2.984</v>
      </c>
      <c r="G2" s="2">
        <f>ROUND(AVERAGE('statistics-M8'!$I$2:$I$13)/365,3)</f>
        <v>23.026</v>
      </c>
    </row>
    <row r="3" spans="1:7" x14ac:dyDescent="0.35">
      <c r="B3" t="s">
        <v>49</v>
      </c>
      <c r="C3" s="2">
        <f>ROUND(AVERAGE('statistics-M4'!$F$2:$F$13)/365,3)</f>
        <v>0.64600000000000002</v>
      </c>
      <c r="D3" s="2">
        <f>ROUND(AVERAGE('statistics-M5'!$F$2:$F$13)/365,3)</f>
        <v>0.71299999999999997</v>
      </c>
      <c r="E3" s="2">
        <f>ROUND(AVERAGE('statistics-M6'!$F$2:$F$13)/365,3)</f>
        <v>6.7240000000000002</v>
      </c>
      <c r="F3" s="2">
        <f>ROUND(AVERAGE('statistics-M7'!$F$2:$F$13)/365,3)</f>
        <v>0.67</v>
      </c>
      <c r="G3" s="2">
        <f>ROUND(AVERAGE('statistics-M8'!$F$2:$F$13)/365,3)</f>
        <v>9.5850000000000009</v>
      </c>
    </row>
    <row r="4" spans="1:7" x14ac:dyDescent="0.35">
      <c r="B4" t="s">
        <v>50</v>
      </c>
      <c r="C4" s="2">
        <f>ROUND(AVERAGE('statistics-M4'!$J$2:$J$13)/365,3)</f>
        <v>1.123</v>
      </c>
      <c r="D4" s="2">
        <f>ROUND(AVERAGE('statistics-M5'!$J$2:$J$13)/365,3)</f>
        <v>1.575</v>
      </c>
      <c r="E4" s="2">
        <f>ROUND(AVERAGE('statistics-M6'!$J$2:$J$13)/365,3)</f>
        <v>9.1649999999999991</v>
      </c>
      <c r="F4" s="2">
        <f>ROUND(AVERAGE('statistics-M7'!$J$2:$J$13)/365,3)</f>
        <v>2</v>
      </c>
      <c r="G4" s="2">
        <f>ROUND(AVERAGE('statistics-M8'!$J$2:$J$13)/365,3)</f>
        <v>17.239999999999998</v>
      </c>
    </row>
    <row r="5" spans="1:7" x14ac:dyDescent="0.35">
      <c r="B5" t="s">
        <v>7</v>
      </c>
      <c r="C5" s="2">
        <f>ROUND(AVERAGE(NFFT_All!$C$2:$C$10),3)</f>
        <v>1.6850000000000001</v>
      </c>
      <c r="D5" s="2">
        <f>ROUND(AVERAGE(NFFT_All!$D$2:$D$10),3)</f>
        <v>2.3570000000000002</v>
      </c>
      <c r="E5" s="2">
        <f>ROUND(AVERAGE(NFFT_All!$E$2:$E$10),3)</f>
        <v>1.988</v>
      </c>
      <c r="F5" s="2">
        <f>ROUND(AVERAGE(NFFT_All!$F$2:$F$10),3)</f>
        <v>3.016</v>
      </c>
      <c r="G5" s="2" t="e">
        <f>ROUND(AVERAGE(NFFT_All!$G$2:$G$10),3)</f>
        <v>#DIV/0!</v>
      </c>
    </row>
    <row r="6" spans="1:7" x14ac:dyDescent="0.35">
      <c r="B6" t="s">
        <v>8</v>
      </c>
      <c r="C6" s="2">
        <f>ROUND(AVERAGE(LSP_All!$C$2:$C$10),3)</f>
        <v>2.1970000000000001</v>
      </c>
      <c r="D6" s="2">
        <f>ROUND(AVERAGE(LSP_All!$D$2:$D$10),3)</f>
        <v>2.4790000000000001</v>
      </c>
      <c r="E6" s="2">
        <f>ROUND(AVERAGE(LSP_All!$E$2:$E$10),3)</f>
        <v>3.145</v>
      </c>
      <c r="F6" s="2">
        <f>ROUND(AVERAGE(LSP_All!$F$2:$F$10),3)</f>
        <v>4.8579999999999997</v>
      </c>
      <c r="G6" s="2" t="e">
        <f>ROUND(AVERAGE(LSP_All!$G$2:$G$10),3)</f>
        <v>#DIV/0!</v>
      </c>
    </row>
    <row r="7" spans="1:7" x14ac:dyDescent="0.35">
      <c r="A7" t="s">
        <v>51</v>
      </c>
      <c r="B7" t="s">
        <v>48</v>
      </c>
      <c r="C7" s="2">
        <f>ROUND(AVERAGE('statistics-M4'!$I$14:$I$25)/365,3)</f>
        <v>1.7350000000000001</v>
      </c>
      <c r="D7" s="2">
        <f>ROUND(AVERAGE('statistics-M5'!$I$14:$I$25)/365,3)</f>
        <v>2.9569999999999999</v>
      </c>
      <c r="E7" s="2">
        <f>ROUND(AVERAGE('statistics-M6'!$I$14:$I$25)/365,3)</f>
        <v>8.657</v>
      </c>
      <c r="F7" s="2">
        <f>ROUND(AVERAGE('statistics-M7'!$I$14:$I$25)/365,3)</f>
        <v>17.184999999999999</v>
      </c>
      <c r="G7" s="2">
        <f>ROUND(AVERAGE('statistics-M8'!$I$14:$I$25)/365,3)</f>
        <v>22.498000000000001</v>
      </c>
    </row>
    <row r="8" spans="1:7" x14ac:dyDescent="0.35">
      <c r="B8" t="s">
        <v>49</v>
      </c>
      <c r="C8" s="2">
        <f>ROUND(AVERAGE('statistics-M4'!$F$14:$F$25)/365,3)</f>
        <v>0.64400000000000002</v>
      </c>
      <c r="D8" s="2">
        <f>ROUND(AVERAGE('statistics-M5'!$F$14:$F$25)/365,3)</f>
        <v>0.624</v>
      </c>
      <c r="E8" s="2">
        <f>ROUND(AVERAGE('statistics-M6'!$F$14:$F$25)/365,3)</f>
        <v>4.5570000000000004</v>
      </c>
      <c r="F8" s="2">
        <f>ROUND(AVERAGE('statistics-M7'!$F$14:$F$25)/365,3)</f>
        <v>8.7829999999999995</v>
      </c>
      <c r="G8" s="2">
        <f>ROUND(AVERAGE('statistics-M8'!$F$14:$F$25)/365,3)</f>
        <v>8.5589999999999993</v>
      </c>
    </row>
    <row r="9" spans="1:7" x14ac:dyDescent="0.35">
      <c r="B9" t="s">
        <v>50</v>
      </c>
      <c r="C9" s="2">
        <f>ROUND(AVERAGE('statistics-M4'!$J$14:$J$25)/365,3)</f>
        <v>1.0860000000000001</v>
      </c>
      <c r="D9" s="2">
        <f>ROUND(AVERAGE('statistics-M5'!$J$14:$J$25)/365,3)</f>
        <v>2.0720000000000001</v>
      </c>
      <c r="E9" s="2">
        <f>ROUND(AVERAGE('statistics-M6'!$J$14:$J$25)/365,3)</f>
        <v>8.2720000000000002</v>
      </c>
      <c r="F9" s="2">
        <f>ROUND(AVERAGE('statistics-M7'!$J$14:$J$25)/365,3)</f>
        <v>15.028</v>
      </c>
      <c r="G9" s="2">
        <f>ROUND(AVERAGE('statistics-M8'!$J$14:$J$25)/365,3)</f>
        <v>16.437999999999999</v>
      </c>
    </row>
    <row r="10" spans="1:7" x14ac:dyDescent="0.35">
      <c r="B10" t="s">
        <v>7</v>
      </c>
      <c r="C10" s="2">
        <f>ROUND(AVERAGE(NFFT_All!$C$11:$C$21),3)</f>
        <v>2.1360000000000001</v>
      </c>
      <c r="D10" s="2">
        <f>ROUND(AVERAGE(NFFT_All!$D$11:$D$21),3)</f>
        <v>2.383</v>
      </c>
      <c r="E10" s="2">
        <f>ROUND(AVERAGE(NFFT_All!$E$11:$E$21),3)</f>
        <v>2.8050000000000002</v>
      </c>
      <c r="F10" s="2">
        <f>ROUND(AVERAGE(NFFT_All!$F$11:$F$21),3)</f>
        <v>7.2930000000000001</v>
      </c>
      <c r="G10" s="2" t="e">
        <f>ROUND(AVERAGE(NFFT_All!$G$11:$G$21),3)</f>
        <v>#DIV/0!</v>
      </c>
    </row>
    <row r="11" spans="1:7" x14ac:dyDescent="0.35">
      <c r="B11" t="s">
        <v>8</v>
      </c>
      <c r="C11" s="2">
        <f>ROUND(AVERAGE(LSP_All!$C$11:$C$21),3)</f>
        <v>2.7839999999999998</v>
      </c>
      <c r="D11" s="2">
        <f>ROUND(AVERAGE(LSP_All!$D$11:$D$21),3)</f>
        <v>2.5099999999999998</v>
      </c>
      <c r="E11" s="2">
        <f>ROUND(AVERAGE(LSP_All!$E$11:$E$21),3)</f>
        <v>2.8170000000000002</v>
      </c>
      <c r="F11" s="2">
        <f>ROUND(AVERAGE(LSP_All!$F$11:$F$21),3)</f>
        <v>4.3049999999999997</v>
      </c>
      <c r="G11" s="2" t="e">
        <f>ROUND(AVERAGE(LSP_All!$G$11:$G$21),3)</f>
        <v>#DIV/0!</v>
      </c>
    </row>
    <row r="12" spans="1:7" x14ac:dyDescent="0.35">
      <c r="A12" t="s">
        <v>52</v>
      </c>
      <c r="B12" t="s">
        <v>48</v>
      </c>
      <c r="C12" s="2">
        <f>ROUND(AVERAGE('statistics-M4'!$I$26:$I$37)/365,3)</f>
        <v>1.393</v>
      </c>
      <c r="D12" s="2">
        <f>ROUND(AVERAGE('statistics-M5'!$I$26:$I$37)/365,3)</f>
        <v>1.6850000000000001</v>
      </c>
      <c r="E12" s="2">
        <f>ROUND(AVERAGE('statistics-M6'!$I$26:$I$37)/365,3)</f>
        <v>7.1340000000000003</v>
      </c>
      <c r="F12" s="2">
        <f>ROUND(AVERAGE('statistics-M7'!$I$26:$I$37)/365,3)</f>
        <v>24.69</v>
      </c>
      <c r="G12" s="2">
        <f>ROUND(AVERAGE('statistics-M8'!$I$26:$I$37)/365,3)</f>
        <v>14.754</v>
      </c>
    </row>
    <row r="13" spans="1:7" x14ac:dyDescent="0.35">
      <c r="B13" t="s">
        <v>49</v>
      </c>
      <c r="C13" s="2">
        <f>ROUND(AVERAGE('statistics-M4'!$F$26:$F$37)/365,3)</f>
        <v>0.63100000000000001</v>
      </c>
      <c r="D13" s="2">
        <f>ROUND(AVERAGE('statistics-M5'!$F$26:$F$37)/365,3)</f>
        <v>0.63700000000000001</v>
      </c>
      <c r="E13" s="2">
        <f>ROUND(AVERAGE('statistics-M6'!$F$26:$F$37)/365,3)</f>
        <v>1.528</v>
      </c>
      <c r="F13" s="2">
        <f>ROUND(AVERAGE('statistics-M7'!$F$26:$F$37)/365,3)</f>
        <v>8.3309999999999995</v>
      </c>
      <c r="G13" s="2">
        <f>ROUND(AVERAGE('statistics-M8'!$F$26:$F$37)/365,3)</f>
        <v>4.4109999999999996</v>
      </c>
    </row>
    <row r="14" spans="1:7" x14ac:dyDescent="0.35">
      <c r="B14" t="s">
        <v>50</v>
      </c>
      <c r="C14" s="2">
        <f>ROUND(AVERAGE('statistics-M4'!$J$26:$J$37)/365,3)</f>
        <v>0.871</v>
      </c>
      <c r="D14" s="2">
        <f>ROUND(AVERAGE('statistics-M5'!$J$26:$J$37)/365,3)</f>
        <v>1.014</v>
      </c>
      <c r="E14" s="2">
        <f>ROUND(AVERAGE('statistics-M6'!$J$26:$J$37)/365,3)</f>
        <v>5.3</v>
      </c>
      <c r="F14" s="2">
        <f>ROUND(AVERAGE('statistics-M7'!$J$26:$J$37)/365,3)</f>
        <v>21.125</v>
      </c>
      <c r="G14" s="2">
        <f>ROUND(AVERAGE('statistics-M8'!$J$26:$J$37)/365,3)</f>
        <v>11.595000000000001</v>
      </c>
    </row>
    <row r="15" spans="1:7" x14ac:dyDescent="0.35">
      <c r="B15" t="s">
        <v>7</v>
      </c>
      <c r="C15" s="2">
        <f>ROUND(AVERAGE(NFFT_All!$C$22:$C$33),3)</f>
        <v>2.274</v>
      </c>
      <c r="D15" s="2">
        <f>ROUND(AVERAGE(NFFT_All!$D$22:$D$33),3)</f>
        <v>2.911</v>
      </c>
      <c r="E15" s="2">
        <f>ROUND(AVERAGE(NFFT_All!$E$22:$E$33),3)</f>
        <v>4.3220000000000001</v>
      </c>
      <c r="F15" s="2">
        <f>ROUND(AVERAGE(NFFT_All!$F$22:$F$33),3)</f>
        <v>2.488</v>
      </c>
      <c r="G15" s="2" t="e">
        <f>ROUND(AVERAGE(NFFT_All!$G$22:$G$33),3)</f>
        <v>#DIV/0!</v>
      </c>
    </row>
    <row r="16" spans="1:7" x14ac:dyDescent="0.35">
      <c r="B16" t="s">
        <v>8</v>
      </c>
      <c r="C16" s="2">
        <f>ROUND(AVERAGE(LSP_All!$C$22:$C$33),3)</f>
        <v>1.899</v>
      </c>
      <c r="D16" s="2">
        <f>ROUND(AVERAGE(LSP_All!$D$22:$D$33),3)</f>
        <v>2.0699999999999998</v>
      </c>
      <c r="E16" s="2">
        <f>ROUND(AVERAGE(LSP_All!$E$22:$E$33),3)</f>
        <v>7.61</v>
      </c>
      <c r="F16" s="2">
        <f>ROUND(AVERAGE(LSP_All!$F$22:$F$33),3)</f>
        <v>2.448</v>
      </c>
      <c r="G16" s="2" t="e">
        <f>ROUND(AVERAGE(LSP_All!$G$22:$G$33),3)</f>
        <v>#DIV/0!</v>
      </c>
    </row>
    <row r="17" spans="1:7" x14ac:dyDescent="0.35">
      <c r="A17" t="s">
        <v>53</v>
      </c>
      <c r="B17" t="s">
        <v>48</v>
      </c>
      <c r="C17" s="2">
        <f>ROUND(AVERAGE('statistics-M4'!$I$38:$I$45)/365,3)</f>
        <v>1.8420000000000001</v>
      </c>
      <c r="D17" s="2">
        <f>ROUND(AVERAGE('statistics-M5'!$I$38:$I$45)/365,3)</f>
        <v>3.0219999999999998</v>
      </c>
      <c r="E17" s="2">
        <f>ROUND(AVERAGE('statistics-M6'!$I$38:$I$45)/365,3)</f>
        <v>3.2719999999999998</v>
      </c>
      <c r="F17" s="2">
        <f>ROUND(AVERAGE('statistics-M7'!$I$38:$I$45)/365,3)</f>
        <v>10.989000000000001</v>
      </c>
      <c r="G17" s="2" t="e">
        <f>ROUND(AVERAGE('statistics-M8'!$I$38:$I$45)/365,3)</f>
        <v>#DIV/0!</v>
      </c>
    </row>
    <row r="18" spans="1:7" x14ac:dyDescent="0.35">
      <c r="B18" t="s">
        <v>49</v>
      </c>
      <c r="C18" s="2">
        <f>ROUND(AVERAGE('statistics-M4'!$F$38:$F$45)/365,3)</f>
        <v>0.61099999999999999</v>
      </c>
      <c r="D18" s="2">
        <f>ROUND(AVERAGE('statistics-M5'!$F$38:$F$45)/365,3)</f>
        <v>0.74199999999999999</v>
      </c>
      <c r="E18" s="2">
        <f>ROUND(AVERAGE('statistics-M6'!$F$38:$F$45)/365,3)</f>
        <v>0.69699999999999995</v>
      </c>
      <c r="F18" s="2">
        <f>ROUND(AVERAGE('statistics-M7'!$F$38:$F$45)/365,3)</f>
        <v>1.355</v>
      </c>
      <c r="G18" s="2" t="e">
        <f>ROUND(AVERAGE('statistics-M8'!$F$38:$F$45)/365,3)</f>
        <v>#DIV/0!</v>
      </c>
    </row>
    <row r="19" spans="1:7" x14ac:dyDescent="0.35">
      <c r="B19" t="s">
        <v>50</v>
      </c>
      <c r="C19" s="2">
        <f>ROUND(AVERAGE('statistics-M4'!$J$38:$J$45)/365,3)</f>
        <v>1.014</v>
      </c>
      <c r="D19" s="2">
        <f>ROUND(AVERAGE('statistics-M5'!$J$38:$J$45)/365,3)</f>
        <v>2.66</v>
      </c>
      <c r="E19" s="2">
        <f>ROUND(AVERAGE('statistics-M6'!$J$38:$J$45)/365,3)</f>
        <v>2.4180000000000001</v>
      </c>
      <c r="F19" s="2">
        <f>ROUND(AVERAGE('statistics-M7'!$J$38:$J$45)/365,3)</f>
        <v>8.34</v>
      </c>
      <c r="G19" s="2" t="e">
        <f>ROUND(AVERAGE('statistics-M8'!$J$38:$J$45)/365,3)</f>
        <v>#DIV/0!</v>
      </c>
    </row>
    <row r="20" spans="1:7" x14ac:dyDescent="0.35">
      <c r="B20" t="s">
        <v>7</v>
      </c>
      <c r="C20" s="2">
        <f>ROUND(AVERAGE(NFFT_All!$C$34:$C$38),3)</f>
        <v>2.42</v>
      </c>
      <c r="D20" s="2">
        <f>ROUND(AVERAGE(NFFT_All!$D$34:$D$38),3)</f>
        <v>2.6989999999999998</v>
      </c>
      <c r="E20" s="2">
        <f>ROUND(AVERAGE(NFFT_All!$E$34:$E$38),3)</f>
        <v>3.9860000000000002</v>
      </c>
      <c r="F20" s="2" t="e">
        <f>ROUND(AVERAGE(NFFT_All!$F$34:$F$38),3)</f>
        <v>#DIV/0!</v>
      </c>
      <c r="G20" s="2" t="e">
        <f>ROUND(AVERAGE(NFFT_All!$G$34:$G$38),3)</f>
        <v>#DIV/0!</v>
      </c>
    </row>
    <row r="21" spans="1:7" x14ac:dyDescent="0.35">
      <c r="B21" t="s">
        <v>8</v>
      </c>
      <c r="C21" s="2">
        <f>ROUND(AVERAGE(LSP_All!$C$34:$C$38),3)</f>
        <v>2.5790000000000002</v>
      </c>
      <c r="D21" s="2">
        <f>ROUND(AVERAGE(LSP_All!$D$34:$D$38),3)</f>
        <v>2.0110000000000001</v>
      </c>
      <c r="E21" s="2">
        <f>ROUND(AVERAGE(LSP_All!$E$34:$E$38),3)</f>
        <v>5.9340000000000002</v>
      </c>
      <c r="F21" s="2">
        <f>ROUND(AVERAGE(LSP_All!$F$34:$F$38),3)</f>
        <v>11.682</v>
      </c>
      <c r="G21" s="2" t="e">
        <f>ROUND(AVERAGE(LSP_All!$G$34:$G$38),3)</f>
        <v>#DIV/0!</v>
      </c>
    </row>
    <row r="22" spans="1:7" x14ac:dyDescent="0.35">
      <c r="A22" t="s">
        <v>54</v>
      </c>
      <c r="B22" t="s">
        <v>48</v>
      </c>
      <c r="C22" s="2">
        <f>ROUND(AVERAGE('statistics-M4'!$I$46:$I$57)/365,3)</f>
        <v>2.2250000000000001</v>
      </c>
      <c r="D22" s="2">
        <f>ROUND(AVERAGE('statistics-M5'!$I$46:$I$57)/365,3)</f>
        <v>4.0250000000000004</v>
      </c>
      <c r="E22" s="2">
        <f>ROUND(AVERAGE('statistics-M6'!$I$46:$I$57)/365,3)</f>
        <v>4.1559999999999997</v>
      </c>
      <c r="F22" s="2">
        <f>ROUND(AVERAGE('statistics-M7'!$I$46:$I$57)/365,3)</f>
        <v>20.454999999999998</v>
      </c>
      <c r="G22" s="2">
        <f>ROUND(AVERAGE('statistics-M8'!$I$46:$I$57)/365,3)</f>
        <v>14.234</v>
      </c>
    </row>
    <row r="23" spans="1:7" x14ac:dyDescent="0.35">
      <c r="B23" t="s">
        <v>49</v>
      </c>
      <c r="C23" s="2">
        <f>ROUND(AVERAGE('statistics-M4'!$F$46:$F$57)/365,3)</f>
        <v>0.73799999999999999</v>
      </c>
      <c r="D23" s="2">
        <f>ROUND(AVERAGE('statistics-M5'!$F$46:$F$57)/365,3)</f>
        <v>0.77900000000000003</v>
      </c>
      <c r="E23" s="2">
        <f>ROUND(AVERAGE('statistics-M6'!$F$46:$F$57)/365,3)</f>
        <v>0.95499999999999996</v>
      </c>
      <c r="F23" s="2">
        <f>ROUND(AVERAGE('statistics-M7'!$F$46:$F$57)/365,3)</f>
        <v>17.138999999999999</v>
      </c>
      <c r="G23" s="2">
        <f>ROUND(AVERAGE('statistics-M8'!$F$46:$F$57)/365,3)</f>
        <v>1.8560000000000001</v>
      </c>
    </row>
    <row r="24" spans="1:7" x14ac:dyDescent="0.35">
      <c r="B24" t="s">
        <v>50</v>
      </c>
      <c r="C24" s="2">
        <f>ROUND(AVERAGE('statistics-M4'!$J$46:$J$57)/365,3)</f>
        <v>1.1499999999999999</v>
      </c>
      <c r="D24" s="2">
        <f>ROUND(AVERAGE('statistics-M5'!$J$46:$J$57)/365,3)</f>
        <v>2.2509999999999999</v>
      </c>
      <c r="E24" s="2">
        <f>ROUND(AVERAGE('statistics-M6'!$J$46:$J$57)/365,3)</f>
        <v>2.4300000000000002</v>
      </c>
      <c r="F24" s="2">
        <f>ROUND(AVERAGE('statistics-M7'!$J$46:$J$57)/365,3)</f>
        <v>19.73</v>
      </c>
      <c r="G24" s="2">
        <f>ROUND(AVERAGE('statistics-M8'!$J$46:$J$57)/365,3)</f>
        <v>13.955</v>
      </c>
    </row>
    <row r="25" spans="1:7" x14ac:dyDescent="0.35">
      <c r="B25" t="s">
        <v>7</v>
      </c>
      <c r="C25" s="3">
        <f>ROUND(AVERAGE(NFFT_All!$C$39:$C$50),3)</f>
        <v>2.1</v>
      </c>
      <c r="D25" s="2">
        <f>ROUND(AVERAGE(NFFT_All!$D$39:$D$50),3)</f>
        <v>2.7490000000000001</v>
      </c>
      <c r="E25" s="2">
        <f>ROUND(AVERAGE(NFFT_All!$E$39:$E$50),3)</f>
        <v>3.2360000000000002</v>
      </c>
      <c r="F25" s="2">
        <f>ROUND(AVERAGE(NFFT_All!$F$39:$F$50),3)</f>
        <v>4.883</v>
      </c>
      <c r="G25" s="2" t="e">
        <f>ROUND(AVERAGE(NFFT_All!$G$39:$G$50),3)</f>
        <v>#DIV/0!</v>
      </c>
    </row>
    <row r="26" spans="1:7" x14ac:dyDescent="0.35">
      <c r="B26" t="s">
        <v>8</v>
      </c>
      <c r="C26" s="2">
        <f>ROUND(AVERAGE(LSP_All!$C$39:$C$50),3)</f>
        <v>3.3530000000000002</v>
      </c>
      <c r="D26" s="2">
        <f>ROUND(AVERAGE(LSP_All!$D$39:$D$50),3)</f>
        <v>2.415</v>
      </c>
      <c r="E26" s="2">
        <f>ROUND(AVERAGE(LSP_All!$E$39:$E$50),3)</f>
        <v>4.7839999999999998</v>
      </c>
      <c r="F26" s="2">
        <f>ROUND(AVERAGE(LSP_All!$F$39:$F$50),3)</f>
        <v>3.6309999999999998</v>
      </c>
      <c r="G26" s="2">
        <f>ROUND(AVERAGE(LSP_All!$G$39:$G$50),3)</f>
        <v>18.158999999999999</v>
      </c>
    </row>
    <row r="27" spans="1:7" x14ac:dyDescent="0.35">
      <c r="A27" t="s">
        <v>55</v>
      </c>
      <c r="B27" t="s">
        <v>48</v>
      </c>
      <c r="C27" s="2">
        <f>ROUND(AVERAGE('statistics-M4'!$I$58:$I$69)/365,3)</f>
        <v>1.4139999999999999</v>
      </c>
      <c r="D27" s="2">
        <f>ROUND(AVERAGE('statistics-M5'!$I$58:$I$69)/365,3)</f>
        <v>1.6679999999999999</v>
      </c>
      <c r="E27" s="2">
        <f>ROUND(AVERAGE('statistics-M6'!$I$58:$I$69)/365,3)</f>
        <v>7.1559999999999997</v>
      </c>
      <c r="F27" s="2">
        <f>ROUND(AVERAGE('statistics-M7'!$I$58:$I$69)/365,3)</f>
        <v>7.8520000000000003</v>
      </c>
      <c r="G27" s="2">
        <f>ROUND(AVERAGE('statistics-M8'!$I$58:$I$69)/365,3)</f>
        <v>31.576000000000001</v>
      </c>
    </row>
    <row r="28" spans="1:7" x14ac:dyDescent="0.35">
      <c r="B28" t="s">
        <v>49</v>
      </c>
      <c r="C28" s="2">
        <f>ROUND(AVERAGE('statistics-M4'!$F$58:$F$69)/365,3)</f>
        <v>0.61</v>
      </c>
      <c r="D28" s="2">
        <f>ROUND(AVERAGE('statistics-M5'!$F$58:$F$69)/365,3)</f>
        <v>0.66300000000000003</v>
      </c>
      <c r="E28" s="2">
        <f>ROUND(AVERAGE('statistics-M6'!$F$58:$F$69)/365,3)</f>
        <v>4.149</v>
      </c>
      <c r="F28" s="2">
        <f>ROUND(AVERAGE('statistics-M7'!$F$58:$F$69)/365,3)</f>
        <v>1.6519999999999999</v>
      </c>
      <c r="G28" s="2">
        <f>ROUND(AVERAGE('statistics-M8'!$F$58:$F$69)/365,3)</f>
        <v>23.196000000000002</v>
      </c>
    </row>
    <row r="29" spans="1:7" x14ac:dyDescent="0.35">
      <c r="B29" t="s">
        <v>50</v>
      </c>
      <c r="C29" s="2">
        <f>ROUND(AVERAGE('statistics-M4'!$J$58:$J$69)/365,3)</f>
        <v>0.95299999999999996</v>
      </c>
      <c r="D29" s="2">
        <f>ROUND(AVERAGE('statistics-M5'!$J$58:$J$69)/365,3)</f>
        <v>1.07</v>
      </c>
      <c r="E29" s="2">
        <f>ROUND(AVERAGE('statistics-M6'!$J$58:$J$69)/365,3)</f>
        <v>6.1479999999999997</v>
      </c>
      <c r="F29" s="2">
        <f>ROUND(AVERAGE('statistics-M7'!$J$58:$J$69)/365,3)</f>
        <v>7.1710000000000003</v>
      </c>
      <c r="G29" s="2">
        <f>ROUND(AVERAGE('statistics-M8'!$J$58:$J$69)/365,3)</f>
        <v>30.41</v>
      </c>
    </row>
    <row r="30" spans="1:7" x14ac:dyDescent="0.35">
      <c r="B30" t="s">
        <v>7</v>
      </c>
      <c r="C30" s="3">
        <f>ROUND(AVERAGE(NFFT_All!$C$51:$C$59),3)</f>
        <v>2.0299999999999998</v>
      </c>
      <c r="D30" s="2">
        <f>ROUND(AVERAGE(NFFT_All!$D$51:$D$59),3)</f>
        <v>2.2010000000000001</v>
      </c>
      <c r="E30" s="2">
        <f>ROUND(AVERAGE(NFFT_All!$E$51:$E$59),3)</f>
        <v>2.8439999999999999</v>
      </c>
      <c r="F30" s="3">
        <f>ROUND(AVERAGE(NFFT_All!$F$51:$F$59),3)</f>
        <v>3.8620000000000001</v>
      </c>
      <c r="G30" s="2" t="e">
        <f>ROUND(AVERAGE(NFFT_All!$G$51:$G$59),3)</f>
        <v>#DIV/0!</v>
      </c>
    </row>
    <row r="31" spans="1:7" x14ac:dyDescent="0.35">
      <c r="B31" t="s">
        <v>8</v>
      </c>
      <c r="C31" s="2">
        <f>ROUND(AVERAGE(LSP_All!$C$51:$C$59),3)</f>
        <v>2.1059999999999999</v>
      </c>
      <c r="D31" s="2">
        <f>ROUND(AVERAGE(LSP_All!$D$51:$D$59),3)</f>
        <v>2.1960000000000002</v>
      </c>
      <c r="E31" s="2">
        <f>ROUND(AVERAGE(LSP_All!$E$51:$E$59),3)</f>
        <v>4.6630000000000003</v>
      </c>
      <c r="F31" s="2">
        <f>ROUND(AVERAGE(LSP_All!$F$51:$F$59),3)</f>
        <v>7.0759999999999996</v>
      </c>
      <c r="G31" s="2">
        <f>ROUND(AVERAGE(LSP_All!$G$51:$G$59),3)</f>
        <v>11.978</v>
      </c>
    </row>
    <row r="32" spans="1:7" x14ac:dyDescent="0.35">
      <c r="A32" t="s">
        <v>56</v>
      </c>
      <c r="B32" t="s">
        <v>48</v>
      </c>
      <c r="C32" s="2">
        <f>ROUND(AVERAGE('statistics-M4'!$I$70:$I$80)/365,3)</f>
        <v>2.4500000000000002</v>
      </c>
      <c r="D32" s="2">
        <f>ROUND(AVERAGE('statistics-M5'!$I$70:$I$80)/365,3)</f>
        <v>4.4539999999999997</v>
      </c>
      <c r="E32" s="2">
        <f>ROUND(AVERAGE('statistics-M6'!$I$70:$I$80)/365,3)</f>
        <v>13.791</v>
      </c>
      <c r="F32" s="2" t="e">
        <f>ROUND(AVERAGE('statistics-M7'!$I$70:$I$80)/365,3)</f>
        <v>#DIV/0!</v>
      </c>
      <c r="G32" s="2" t="e">
        <f>ROUND(AVERAGE('statistics-M8'!$I$70:$I$80)/365,3)</f>
        <v>#DIV/0!</v>
      </c>
    </row>
    <row r="33" spans="2:7" x14ac:dyDescent="0.35">
      <c r="B33" t="s">
        <v>49</v>
      </c>
      <c r="C33" s="2">
        <f>ROUND(AVERAGE('statistics-M4'!$F$70:$F$80)/365,3)</f>
        <v>0.626</v>
      </c>
      <c r="D33" s="2">
        <f>ROUND(AVERAGE('statistics-M5'!$F$70:$F$80)/365,3)</f>
        <v>0.78100000000000003</v>
      </c>
      <c r="E33" s="2">
        <f>ROUND(AVERAGE('statistics-M6'!$F$70:$F$80)/365,3)</f>
        <v>4.335</v>
      </c>
      <c r="F33" s="2" t="e">
        <f>ROUND(AVERAGE('statistics-M7'!$F$70:$F$80)/365,3)</f>
        <v>#DIV/0!</v>
      </c>
      <c r="G33" s="2" t="e">
        <f>ROUND(AVERAGE('statistics-M8'!$F$70:$F$80)/365,3)</f>
        <v>#DIV/0!</v>
      </c>
    </row>
    <row r="34" spans="2:7" x14ac:dyDescent="0.35">
      <c r="B34" t="s">
        <v>50</v>
      </c>
      <c r="C34" s="2">
        <f>ROUND(AVERAGE('statistics-M4'!$J$70:$J$80)/365,3)</f>
        <v>1.4379999999999999</v>
      </c>
      <c r="D34" s="2">
        <f>ROUND(AVERAGE('statistics-M5'!$J$70:$J$80)/365,3)</f>
        <v>2.6030000000000002</v>
      </c>
      <c r="E34" s="2">
        <f>ROUND(AVERAGE('statistics-M6'!$J$70:$J$80)/365,3)</f>
        <v>11.581</v>
      </c>
      <c r="F34" s="2" t="e">
        <f>ROUND(AVERAGE('statistics-M7'!$J$70:$J$80)/365,3)</f>
        <v>#DIV/0!</v>
      </c>
      <c r="G34" s="2" t="e">
        <f>ROUND(AVERAGE('statistics-M8'!$J$70:$J$80)/365,3)</f>
        <v>#DIV/0!</v>
      </c>
    </row>
    <row r="35" spans="2:7" x14ac:dyDescent="0.35">
      <c r="B35" t="s">
        <v>7</v>
      </c>
      <c r="C35" s="2">
        <f>ROUND(AVERAGE(NFFT_All!$C$60:$C$69),3)</f>
        <v>2.133</v>
      </c>
      <c r="D35" s="2">
        <f>ROUND(AVERAGE(NFFT_All!$D$60:$D$69),3)</f>
        <v>1.766</v>
      </c>
      <c r="E35" s="2" t="e">
        <f>ROUND(AVERAGE(NFFT_All!$E$60:$E$69),3)</f>
        <v>#DIV/0!</v>
      </c>
      <c r="F35" s="2" t="e">
        <f>ROUND(AVERAGE(NFFT_All!$F$60:$F$69),3)</f>
        <v>#DIV/0!</v>
      </c>
      <c r="G35" s="2" t="e">
        <f>ROUND(AVERAGE(NFFT_All!$G$60:$G$69),3)</f>
        <v>#DIV/0!</v>
      </c>
    </row>
    <row r="36" spans="2:7" x14ac:dyDescent="0.35">
      <c r="B36" t="s">
        <v>8</v>
      </c>
      <c r="C36" s="2">
        <f>ROUND(AVERAGE(LSP_All!$C$60:$C$69),3)</f>
        <v>3.927</v>
      </c>
      <c r="D36" s="2">
        <f>ROUND(AVERAGE(LSP_All!$D$60:$D$69),3)</f>
        <v>5.4560000000000004</v>
      </c>
      <c r="E36" s="2" t="e">
        <f>ROUND(AVERAGE(LSP_All!$E$60:$E$69),3)</f>
        <v>#DIV/0!</v>
      </c>
      <c r="F36" s="2" t="e">
        <f>ROUND(AVERAGE(LSP_All!$F$60:$F$69),3)</f>
        <v>#DIV/0!</v>
      </c>
      <c r="G36" s="2" t="e">
        <f>ROUND(AVERAGE(LSP_All!$G$60:$G$69),3)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99DB-1C42-405D-8CE4-FCBAACFF9FF6}">
  <dimension ref="A1:Y70"/>
  <sheetViews>
    <sheetView topLeftCell="M60" workbookViewId="0">
      <selection activeCell="Z23" sqref="Z23"/>
    </sheetView>
  </sheetViews>
  <sheetFormatPr defaultRowHeight="14.5" x14ac:dyDescent="0.35"/>
  <cols>
    <col min="1" max="1" width="16.6328125" bestFit="1" customWidth="1"/>
    <col min="2" max="2" width="11.26953125" bestFit="1" customWidth="1"/>
    <col min="3" max="7" width="6.81640625" bestFit="1" customWidth="1"/>
    <col min="9" max="13" width="10.36328125" bestFit="1" customWidth="1"/>
    <col min="15" max="19" width="10.36328125" bestFit="1" customWidth="1"/>
    <col min="21" max="25" width="10.36328125" bestFit="1" customWidth="1"/>
  </cols>
  <sheetData>
    <row r="1" spans="1:25" x14ac:dyDescent="0.3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</row>
    <row r="2" spans="1:25" x14ac:dyDescent="0.35">
      <c r="A2" t="s">
        <v>9</v>
      </c>
      <c r="B2">
        <v>1</v>
      </c>
      <c r="C2">
        <v>0.97699999999999998</v>
      </c>
      <c r="D2">
        <v>0.97699999999999998</v>
      </c>
      <c r="E2">
        <v>0.97499999999999998</v>
      </c>
      <c r="F2">
        <v>3.528</v>
      </c>
      <c r="I2">
        <f>IF(ISBLANK(LSP_All[[#This Row],[M4+]]),"",ABS(LSP_All[[#This Row],[M4+]]-(statistics_M4[[#This Row],[mean_gap]]/365)))</f>
        <v>9.4156815786952786E-2</v>
      </c>
      <c r="J2">
        <f>IF(ISBLANK(LSP_All[[#This Row],[M5+]]),"",ABS(LSP_All[[#This Row],[M5+]]-(statistics_M5[[#This Row],[mean_gap]]/365)))</f>
        <v>9.4156815786952786E-2</v>
      </c>
      <c r="K2">
        <f>IF(ISBLANK(LSP_All[[#This Row],[M6+]]),"",ABS(LSP_All[[#This Row],[M6+]]-(statistics_M6[[#This Row],[mean_gap]]/365)))</f>
        <v>7.7407045009784681E-2</v>
      </c>
      <c r="L2">
        <f>IF(ISBLANK(LSP_All[[#This Row],[M7+]]),"",ABS(LSP_All[[#This Row],[M7+]]-(statistics_M7[[#This Row],[mean_gap]]/365)))</f>
        <v>1.7328140900195694</v>
      </c>
      <c r="M2" t="str">
        <f>IF(ISBLANK(LSP_All[[#This Row],[M8+]]),"",ABS(LSP_All[[#This Row],[M8+]]-(statistics_M8[[#This Row],[mean_gap]]/365)))</f>
        <v/>
      </c>
      <c r="O2">
        <f>IF(ISBLANK(LSP_All[[#This Row],[M4+]]),"",ABS(LSP_All[[#This Row],[M4+]]-(statistics_M4[[#This Row],[exact_mode]]/365)))</f>
        <v>0.44549315068493145</v>
      </c>
      <c r="P2">
        <f>IF(ISBLANK(LSP_All[[#This Row],[M5+]]),"",ABS(LSP_All[[#This Row],[M5+]]-(statistics_M5[[#This Row],[exact_mode]]/365)))</f>
        <v>0.44549315068493145</v>
      </c>
      <c r="Q2">
        <f>IF(ISBLANK(LSP_All[[#This Row],[M6+]]),"",ABS(LSP_All[[#This Row],[M6+]]-(statistics_M6[[#This Row],[exact_mode]]/365)))</f>
        <v>0.44349315068493145</v>
      </c>
      <c r="R2">
        <f>IF(ISBLANK(LSP_All[[#This Row],[M7+]]),"",ABS(LSP_All[[#This Row],[M7+]]-(statistics_M7[[#This Row],[exact_mode]]/365)))</f>
        <v>2.9937534246575344</v>
      </c>
      <c r="S2" t="str">
        <f>IF(ISBLANK(LSP_All[[#This Row],[M8+]]),"",ABS(LSP_All[[#This Row],[M8+]]-(statistics_M8[[#This Row],[exact_mode]]/365)))</f>
        <v/>
      </c>
      <c r="U2">
        <f>IF(ISBLANK(LSP_All[[#This Row],[M4+]]),"",ABS(LSP_All[[#This Row],[M4+]]-(statistics_M4[[#This Row],[median_gap]]/365)))</f>
        <v>0.16604109589041094</v>
      </c>
      <c r="V2">
        <f>IF(ISBLANK(LSP_All[[#This Row],[M5+]]),"",ABS(LSP_All[[#This Row],[M5+]]-(statistics_M5[[#This Row],[median_gap]]/365)))</f>
        <v>0.16604109589041094</v>
      </c>
      <c r="W2">
        <f>IF(ISBLANK(LSP_All[[#This Row],[M6+]]),"",ABS(LSP_All[[#This Row],[M6+]]-(statistics_M6[[#This Row],[median_gap]]/365)))</f>
        <v>0.15034246575342458</v>
      </c>
      <c r="X2">
        <f>IF(ISBLANK(LSP_All[[#This Row],[M7+]]),"",ABS(LSP_All[[#This Row],[M7+]]-(statistics_M7[[#This Row],[median_gap]]/365)))</f>
        <v>2.2293698630136989</v>
      </c>
      <c r="Y2" t="str">
        <f>IF(ISBLANK(LSP_All[[#This Row],[M8+]]),"",ABS(LSP_All[[#This Row],[M8+]]-(statistics_M8[[#This Row],[median_gap]]/365)))</f>
        <v/>
      </c>
    </row>
    <row r="3" spans="1:25" x14ac:dyDescent="0.35">
      <c r="A3" t="s">
        <v>9</v>
      </c>
      <c r="B3">
        <v>2</v>
      </c>
      <c r="C3">
        <v>2.282</v>
      </c>
      <c r="D3">
        <v>2.282</v>
      </c>
      <c r="E3">
        <v>1.5029999999999999</v>
      </c>
      <c r="F3">
        <v>11.833</v>
      </c>
      <c r="I3">
        <f>IF(ISBLANK(LSP_All[[#This Row],[M4+]]),"",ABS(LSP_All[[#This Row],[M4+]]-(statistics_M4[[#This Row],[mean_gap]]/365)))</f>
        <v>1.3121582244876286</v>
      </c>
      <c r="J3">
        <f>IF(ISBLANK(LSP_All[[#This Row],[M5+]]),"",ABS(LSP_All[[#This Row],[M5+]]-(statistics_M5[[#This Row],[mean_gap]]/365)))</f>
        <v>1.3121582244876286</v>
      </c>
      <c r="K3">
        <f>IF(ISBLANK(LSP_All[[#This Row],[M6+]]),"",ABS(LSP_All[[#This Row],[M6+]]-(statistics_M6[[#This Row],[mean_gap]]/365)))</f>
        <v>0.40554746455179025</v>
      </c>
      <c r="L3">
        <f>IF(ISBLANK(LSP_All[[#This Row],[M7+]]),"",ABS(LSP_All[[#This Row],[M7+]]-(statistics_M7[[#This Row],[mean_gap]]/365)))</f>
        <v>6.2326264009962635</v>
      </c>
      <c r="M3" t="str">
        <f>IF(ISBLANK(LSP_All[[#This Row],[M8+]]),"",ABS(LSP_All[[#This Row],[M8+]]-(statistics_M8[[#This Row],[mean_gap]]/365)))</f>
        <v/>
      </c>
      <c r="O3">
        <f>IF(ISBLANK(LSP_All[[#This Row],[M4+]]),"",ABS(LSP_All[[#This Row],[M4+]]-(statistics_M4[[#This Row],[exact_mode]]/365)))</f>
        <v>1.7395342465753425</v>
      </c>
      <c r="P3">
        <f>IF(ISBLANK(LSP_All[[#This Row],[M5+]]),"",ABS(LSP_All[[#This Row],[M5+]]-(statistics_M5[[#This Row],[exact_mode]]/365)))</f>
        <v>1.7395342465753425</v>
      </c>
      <c r="Q3">
        <f>IF(ISBLANK(LSP_All[[#This Row],[M6+]]),"",ABS(LSP_All[[#This Row],[M6+]]-(statistics_M6[[#This Row],[exact_mode]]/365)))</f>
        <v>0.96053424657534237</v>
      </c>
      <c r="R3">
        <f>IF(ISBLANK(LSP_All[[#This Row],[M7+]]),"",ABS(LSP_All[[#This Row],[M7+]]-(statistics_M7[[#This Row],[exact_mode]]/365)))</f>
        <v>11.326150684931507</v>
      </c>
      <c r="S3" t="str">
        <f>IF(ISBLANK(LSP_All[[#This Row],[M8+]]),"",ABS(LSP_All[[#This Row],[M8+]]-(statistics_M8[[#This Row],[exact_mode]]/365)))</f>
        <v/>
      </c>
      <c r="U3">
        <f>IF(ISBLANK(LSP_All[[#This Row],[M4+]]),"",ABS(LSP_All[[#This Row],[M4+]]-(statistics_M4[[#This Row],[median_gap]]/365)))</f>
        <v>1.4546027397260275</v>
      </c>
      <c r="V3">
        <f>IF(ISBLANK(LSP_All[[#This Row],[M5+]]),"",ABS(LSP_All[[#This Row],[M5+]]-(statistics_M5[[#This Row],[median_gap]]/365)))</f>
        <v>1.4546027397260275</v>
      </c>
      <c r="W3">
        <f>IF(ISBLANK(LSP_All[[#This Row],[M6+]]),"",ABS(LSP_All[[#This Row],[M6+]]-(statistics_M6[[#This Row],[median_gap]]/365)))</f>
        <v>0.50847945205479439</v>
      </c>
      <c r="X3">
        <f>IF(ISBLANK(LSP_All[[#This Row],[M7+]]),"",ABS(LSP_All[[#This Row],[M7+]]-(statistics_M7[[#This Row],[median_gap]]/365)))</f>
        <v>8.5261506849315065</v>
      </c>
      <c r="Y3" t="str">
        <f>IF(ISBLANK(LSP_All[[#This Row],[M8+]]),"",ABS(LSP_All[[#This Row],[M8+]]-(statistics_M8[[#This Row],[median_gap]]/365)))</f>
        <v/>
      </c>
    </row>
    <row r="4" spans="1:25" x14ac:dyDescent="0.35">
      <c r="A4" t="s">
        <v>9</v>
      </c>
      <c r="B4">
        <v>3</v>
      </c>
      <c r="C4">
        <v>6.0919999999999996</v>
      </c>
      <c r="D4">
        <v>7.1989999999999998</v>
      </c>
      <c r="I4">
        <f>IF(ISBLANK(LSP_All[[#This Row],[M4+]]),"",ABS(LSP_All[[#This Row],[M4+]]-(statistics_M4[[#This Row],[mean_gap]]/365)))</f>
        <v>2.5693211567732113</v>
      </c>
      <c r="J4">
        <f>IF(ISBLANK(LSP_All[[#This Row],[M5+]]),"",ABS(LSP_All[[#This Row],[M5+]]-(statistics_M5[[#This Row],[mean_gap]]/365)))</f>
        <v>0.85817808219178016</v>
      </c>
      <c r="K4" t="str">
        <f>IF(ISBLANK(LSP_All[[#This Row],[M6+]]),"",ABS(LSP_All[[#This Row],[M6+]]-(statistics_M6[[#This Row],[mean_gap]]/365)))</f>
        <v/>
      </c>
      <c r="L4" t="str">
        <f>IF(ISBLANK(LSP_All[[#This Row],[M7+]]),"",ABS(LSP_All[[#This Row],[M7+]]-(statistics_M7[[#This Row],[mean_gap]]/365)))</f>
        <v/>
      </c>
      <c r="M4" t="str">
        <f>IF(ISBLANK(LSP_All[[#This Row],[M8+]]),"",ABS(LSP_All[[#This Row],[M8+]]-(statistics_M8[[#This Row],[mean_gap]]/365)))</f>
        <v/>
      </c>
      <c r="O4">
        <f>IF(ISBLANK(LSP_All[[#This Row],[M4+]]),"",ABS(LSP_All[[#This Row],[M4+]]-(statistics_M4[[#This Row],[exact_mode]]/365)))</f>
        <v>5.5714520547945199</v>
      </c>
      <c r="P4">
        <f>IF(ISBLANK(LSP_All[[#This Row],[M5+]]),"",ABS(LSP_All[[#This Row],[M5+]]-(statistics_M5[[#This Row],[exact_mode]]/365)))</f>
        <v>6.6784520547945201</v>
      </c>
      <c r="Q4" t="str">
        <f>IF(ISBLANK(LSP_All[[#This Row],[M6+]]),"",ABS(LSP_All[[#This Row],[M6+]]-(statistics_M6[[#This Row],[exact_mode]]/365)))</f>
        <v/>
      </c>
      <c r="R4" t="str">
        <f>IF(ISBLANK(LSP_All[[#This Row],[M7+]]),"",ABS(LSP_All[[#This Row],[M7+]]-(statistics_M7[[#This Row],[exact_mode]]/365)))</f>
        <v/>
      </c>
      <c r="S4" t="str">
        <f>IF(ISBLANK(LSP_All[[#This Row],[M8+]]),"",ABS(LSP_All[[#This Row],[M8+]]-(statistics_M8[[#This Row],[exact_mode]]/365)))</f>
        <v/>
      </c>
      <c r="U4">
        <f>IF(ISBLANK(LSP_All[[#This Row],[M4+]]),"",ABS(LSP_All[[#This Row],[M4+]]-(statistics_M4[[#This Row],[median_gap]]/365)))</f>
        <v>4.7906301369863007</v>
      </c>
      <c r="V4">
        <f>IF(ISBLANK(LSP_All[[#This Row],[M5+]]),"",ABS(LSP_All[[#This Row],[M5+]]-(statistics_M5[[#This Row],[median_gap]]/365)))</f>
        <v>2.2784520547945206</v>
      </c>
      <c r="W4" t="str">
        <f>IF(ISBLANK(LSP_All[[#This Row],[M6+]]),"",ABS(LSP_All[[#This Row],[M6+]]-(statistics_M6[[#This Row],[median_gap]]/365)))</f>
        <v/>
      </c>
      <c r="X4" t="str">
        <f>IF(ISBLANK(LSP_All[[#This Row],[M7+]]),"",ABS(LSP_All[[#This Row],[M7+]]-(statistics_M7[[#This Row],[median_gap]]/365)))</f>
        <v/>
      </c>
      <c r="Y4" t="str">
        <f>IF(ISBLANK(LSP_All[[#This Row],[M8+]]),"",ABS(LSP_All[[#This Row],[M8+]]-(statistics_M8[[#This Row],[median_gap]]/365)))</f>
        <v/>
      </c>
    </row>
    <row r="5" spans="1:25" x14ac:dyDescent="0.35">
      <c r="A5" t="s">
        <v>10</v>
      </c>
      <c r="B5">
        <v>1</v>
      </c>
      <c r="C5">
        <v>1.528</v>
      </c>
      <c r="D5">
        <v>1.528</v>
      </c>
      <c r="E5">
        <v>1.528</v>
      </c>
      <c r="F5">
        <v>2.0139999999999998</v>
      </c>
      <c r="I5">
        <f>IF(ISBLANK(LSP_All[[#This Row],[M4+]]),"",ABS(LSP_All[[#This Row],[M4+]]-(statistics_M4[[#This Row],[mean_gap]]/365)))</f>
        <v>0.62381213307240713</v>
      </c>
      <c r="J5">
        <f>IF(ISBLANK(LSP_All[[#This Row],[M5+]]),"",ABS(LSP_All[[#This Row],[M5+]]-(statistics_M5[[#This Row],[mean_gap]]/365)))</f>
        <v>0.62381213307240713</v>
      </c>
      <c r="K5">
        <f>IF(ISBLANK(LSP_All[[#This Row],[M6+]]),"",ABS(LSP_All[[#This Row],[M6+]]-(statistics_M6[[#This Row],[mean_gap]]/365)))</f>
        <v>0.62381213307240713</v>
      </c>
      <c r="L5">
        <f>IF(ISBLANK(LSP_All[[#This Row],[M7+]]),"",ABS(LSP_All[[#This Row],[M7+]]-(statistics_M7[[#This Row],[mean_gap]]/365)))</f>
        <v>0.20070427074939534</v>
      </c>
      <c r="M5" t="str">
        <f>IF(ISBLANK(LSP_All[[#This Row],[M8+]]),"",ABS(LSP_All[[#This Row],[M8+]]-(statistics_M8[[#This Row],[mean_gap]]/365)))</f>
        <v/>
      </c>
      <c r="O5">
        <f>IF(ISBLANK(LSP_All[[#This Row],[M4+]]),"",ABS(LSP_All[[#This Row],[M4+]]-(statistics_M4[[#This Row],[exact_mode]]/365)))</f>
        <v>0.93621917808219179</v>
      </c>
      <c r="P5">
        <f>IF(ISBLANK(LSP_All[[#This Row],[M5+]]),"",ABS(LSP_All[[#This Row],[M5+]]-(statistics_M5[[#This Row],[exact_mode]]/365)))</f>
        <v>0.93621917808219179</v>
      </c>
      <c r="Q5">
        <f>IF(ISBLANK(LSP_All[[#This Row],[M6+]]),"",ABS(LSP_All[[#This Row],[M6+]]-(statistics_M6[[#This Row],[exact_mode]]/365)))</f>
        <v>0.93621917808219179</v>
      </c>
      <c r="R5">
        <f>IF(ISBLANK(LSP_All[[#This Row],[M7+]]),"",ABS(LSP_All[[#This Row],[M7+]]-(statistics_M7[[#This Row],[exact_mode]]/365)))</f>
        <v>0.95098630136986273</v>
      </c>
      <c r="S5" t="str">
        <f>IF(ISBLANK(LSP_All[[#This Row],[M8+]]),"",ABS(LSP_All[[#This Row],[M8+]]-(statistics_M8[[#This Row],[exact_mode]]/365)))</f>
        <v/>
      </c>
      <c r="U5">
        <f>IF(ISBLANK(LSP_All[[#This Row],[M4+]]),"",ABS(LSP_All[[#This Row],[M4+]]-(statistics_M4[[#This Row],[median_gap]]/365)))</f>
        <v>0.74443835616438359</v>
      </c>
      <c r="V5">
        <f>IF(ISBLANK(LSP_All[[#This Row],[M5+]]),"",ABS(LSP_All[[#This Row],[M5+]]-(statistics_M5[[#This Row],[median_gap]]/365)))</f>
        <v>0.74443835616438359</v>
      </c>
      <c r="W5">
        <f>IF(ISBLANK(LSP_All[[#This Row],[M6+]]),"",ABS(LSP_All[[#This Row],[M6+]]-(statistics_M6[[#This Row],[median_gap]]/365)))</f>
        <v>0.74443835616438359</v>
      </c>
      <c r="X5">
        <f>IF(ISBLANK(LSP_All[[#This Row],[M7+]]),"",ABS(LSP_All[[#This Row],[M7+]]-(statistics_M7[[#This Row],[median_gap]]/365)))</f>
        <v>0.72495890410958874</v>
      </c>
      <c r="Y5" t="str">
        <f>IF(ISBLANK(LSP_All[[#This Row],[M8+]]),"",ABS(LSP_All[[#This Row],[M8+]]-(statistics_M8[[#This Row],[median_gap]]/365)))</f>
        <v/>
      </c>
    </row>
    <row r="6" spans="1:25" x14ac:dyDescent="0.35">
      <c r="A6" t="s">
        <v>10</v>
      </c>
      <c r="B6">
        <v>2</v>
      </c>
      <c r="C6">
        <v>2.073</v>
      </c>
      <c r="D6">
        <v>1.5820000000000001</v>
      </c>
      <c r="E6">
        <v>11.667999999999999</v>
      </c>
      <c r="I6">
        <f>IF(ISBLANK(LSP_All[[#This Row],[M4+]]),"",ABS(LSP_All[[#This Row],[M4+]]-(statistics_M4[[#This Row],[mean_gap]]/365)))</f>
        <v>0.82850307038261684</v>
      </c>
      <c r="J6">
        <f>IF(ISBLANK(LSP_All[[#This Row],[M5+]]),"",ABS(LSP_All[[#This Row],[M5+]]-(statistics_M5[[#This Row],[mean_gap]]/365)))</f>
        <v>1.285169743895187E-2</v>
      </c>
      <c r="K6">
        <f>IF(ISBLANK(LSP_All[[#This Row],[M6+]]),"",ABS(LSP_All[[#This Row],[M6+]]-(statistics_M6[[#This Row],[mean_gap]]/365)))</f>
        <v>5.7160697384806962</v>
      </c>
      <c r="L6" t="str">
        <f>IF(ISBLANK(LSP_All[[#This Row],[M7+]]),"",ABS(LSP_All[[#This Row],[M7+]]-(statistics_M7[[#This Row],[mean_gap]]/365)))</f>
        <v/>
      </c>
      <c r="M6" t="str">
        <f>IF(ISBLANK(LSP_All[[#This Row],[M8+]]),"",ABS(LSP_All[[#This Row],[M8+]]-(statistics_M8[[#This Row],[mean_gap]]/365)))</f>
        <v/>
      </c>
      <c r="O6">
        <f>IF(ISBLANK(LSP_All[[#This Row],[M4+]]),"",ABS(LSP_All[[#This Row],[M4+]]-(statistics_M4[[#This Row],[exact_mode]]/365)))</f>
        <v>1.5743698630136986</v>
      </c>
      <c r="P6">
        <f>IF(ISBLANK(LSP_All[[#This Row],[M5+]]),"",ABS(LSP_All[[#This Row],[M5+]]-(statistics_M5[[#This Row],[exact_mode]]/365)))</f>
        <v>1.0148767123287672</v>
      </c>
      <c r="Q6">
        <f>IF(ISBLANK(LSP_All[[#This Row],[M6+]]),"",ABS(LSP_All[[#This Row],[M6+]]-(statistics_M6[[#This Row],[exact_mode]]/365)))</f>
        <v>10.985808219178082</v>
      </c>
      <c r="R6" t="str">
        <f>IF(ISBLANK(LSP_All[[#This Row],[M7+]]),"",ABS(LSP_All[[#This Row],[M7+]]-(statistics_M7[[#This Row],[exact_mode]]/365)))</f>
        <v/>
      </c>
      <c r="S6" t="str">
        <f>IF(ISBLANK(LSP_All[[#This Row],[M8+]]),"",ABS(LSP_All[[#This Row],[M8+]]-(statistics_M8[[#This Row],[exact_mode]]/365)))</f>
        <v/>
      </c>
      <c r="U6">
        <f>IF(ISBLANK(LSP_All[[#This Row],[M4+]]),"",ABS(LSP_All[[#This Row],[M4+]]-(statistics_M4[[#This Row],[median_gap]]/365)))</f>
        <v>1.0825890410958903</v>
      </c>
      <c r="V6">
        <f>IF(ISBLANK(LSP_All[[#This Row],[M5+]]),"",ABS(LSP_All[[#This Row],[M5+]]-(statistics_M5[[#This Row],[median_gap]]/365)))</f>
        <v>0.34090410958904127</v>
      </c>
      <c r="W6">
        <f>IF(ISBLANK(LSP_All[[#This Row],[M6+]]),"",ABS(LSP_All[[#This Row],[M6+]]-(statistics_M6[[#This Row],[median_gap]]/365)))</f>
        <v>8.4762191780821912</v>
      </c>
      <c r="X6" t="str">
        <f>IF(ISBLANK(LSP_All[[#This Row],[M7+]]),"",ABS(LSP_All[[#This Row],[M7+]]-(statistics_M7[[#This Row],[median_gap]]/365)))</f>
        <v/>
      </c>
      <c r="Y6" t="str">
        <f>IF(ISBLANK(LSP_All[[#This Row],[M8+]]),"",ABS(LSP_All[[#This Row],[M8+]]-(statistics_M8[[#This Row],[median_gap]]/365)))</f>
        <v/>
      </c>
    </row>
    <row r="7" spans="1:25" x14ac:dyDescent="0.35">
      <c r="A7" t="s">
        <v>10</v>
      </c>
      <c r="B7">
        <v>3</v>
      </c>
      <c r="C7">
        <v>2.516</v>
      </c>
      <c r="D7">
        <v>4.1539999999999999</v>
      </c>
      <c r="I7">
        <f>IF(ISBLANK(LSP_All[[#This Row],[M4+]]),"",ABS(LSP_All[[#This Row],[M4+]]-(statistics_M4[[#This Row],[mean_gap]]/365)))</f>
        <v>0.25030365296803669</v>
      </c>
      <c r="J7">
        <f>IF(ISBLANK(LSP_All[[#This Row],[M5+]]),"",ABS(LSP_All[[#This Row],[M5+]]-(statistics_M5[[#This Row],[mean_gap]]/365)))</f>
        <v>0.88088356164383574</v>
      </c>
      <c r="K7" t="str">
        <f>IF(ISBLANK(LSP_All[[#This Row],[M6+]]),"",ABS(LSP_All[[#This Row],[M6+]]-(statistics_M6[[#This Row],[mean_gap]]/365)))</f>
        <v/>
      </c>
      <c r="L7" t="str">
        <f>IF(ISBLANK(LSP_All[[#This Row],[M7+]]),"",ABS(LSP_All[[#This Row],[M7+]]-(statistics_M7[[#This Row],[mean_gap]]/365)))</f>
        <v/>
      </c>
      <c r="M7" t="str">
        <f>IF(ISBLANK(LSP_All[[#This Row],[M8+]]),"",ABS(LSP_All[[#This Row],[M8+]]-(statistics_M8[[#This Row],[mean_gap]]/365)))</f>
        <v/>
      </c>
      <c r="O7">
        <f>IF(ISBLANK(LSP_All[[#This Row],[M4+]]),"",ABS(LSP_All[[#This Row],[M4+]]-(statistics_M4[[#This Row],[exact_mode]]/365)))</f>
        <v>1.9023013698630136</v>
      </c>
      <c r="P7">
        <f>IF(ISBLANK(LSP_All[[#This Row],[M5+]]),"",ABS(LSP_All[[#This Row],[M5+]]-(statistics_M5[[#This Row],[exact_mode]]/365)))</f>
        <v>3.0033150684931504</v>
      </c>
      <c r="Q7" t="str">
        <f>IF(ISBLANK(LSP_All[[#This Row],[M6+]]),"",ABS(LSP_All[[#This Row],[M6+]]-(statistics_M6[[#This Row],[exact_mode]]/365)))</f>
        <v/>
      </c>
      <c r="R7" t="str">
        <f>IF(ISBLANK(LSP_All[[#This Row],[M7+]]),"",ABS(LSP_All[[#This Row],[M7+]]-(statistics_M7[[#This Row],[exact_mode]]/365)))</f>
        <v/>
      </c>
      <c r="S7" t="str">
        <f>IF(ISBLANK(LSP_All[[#This Row],[M8+]]),"",ABS(LSP_All[[#This Row],[M8+]]-(statistics_M8[[#This Row],[exact_mode]]/365)))</f>
        <v/>
      </c>
      <c r="U7">
        <f>IF(ISBLANK(LSP_All[[#This Row],[M4+]]),"",ABS(LSP_All[[#This Row],[M4+]]-(statistics_M4[[#This Row],[median_gap]]/365)))</f>
        <v>1.3831232876712329</v>
      </c>
      <c r="V7">
        <f>IF(ISBLANK(LSP_All[[#This Row],[M5+]]),"",ABS(LSP_All[[#This Row],[M5+]]-(statistics_M5[[#This Row],[median_gap]]/365)))</f>
        <v>2.669068493150685</v>
      </c>
      <c r="W7" t="str">
        <f>IF(ISBLANK(LSP_All[[#This Row],[M6+]]),"",ABS(LSP_All[[#This Row],[M6+]]-(statistics_M6[[#This Row],[median_gap]]/365)))</f>
        <v/>
      </c>
      <c r="X7" t="str">
        <f>IF(ISBLANK(LSP_All[[#This Row],[M7+]]),"",ABS(LSP_All[[#This Row],[M7+]]-(statistics_M7[[#This Row],[median_gap]]/365)))</f>
        <v/>
      </c>
      <c r="Y7" t="str">
        <f>IF(ISBLANK(LSP_All[[#This Row],[M8+]]),"",ABS(LSP_All[[#This Row],[M8+]]-(statistics_M8[[#This Row],[median_gap]]/365)))</f>
        <v/>
      </c>
    </row>
    <row r="8" spans="1:25" x14ac:dyDescent="0.35">
      <c r="A8" t="s">
        <v>11</v>
      </c>
      <c r="B8">
        <v>1</v>
      </c>
      <c r="C8">
        <v>1.1040000000000001</v>
      </c>
      <c r="D8">
        <v>1.1040000000000001</v>
      </c>
      <c r="E8">
        <v>2.1920000000000002</v>
      </c>
      <c r="F8">
        <v>2.9649999999999999</v>
      </c>
      <c r="I8">
        <f>IF(ISBLANK(LSP_All[[#This Row],[M4+]]),"",ABS(LSP_All[[#This Row],[M4+]]-(statistics_M4[[#This Row],[mean_gap]]/365)))</f>
        <v>0.23896955859969571</v>
      </c>
      <c r="J8">
        <f>IF(ISBLANK(LSP_All[[#This Row],[M5+]]),"",ABS(LSP_All[[#This Row],[M5+]]-(statistics_M5[[#This Row],[mean_gap]]/365)))</f>
        <v>0.23896955859969571</v>
      </c>
      <c r="K8">
        <f>IF(ISBLANK(LSP_All[[#This Row],[M6+]]),"",ABS(LSP_All[[#This Row],[M6+]]-(statistics_M6[[#This Row],[mean_gap]]/365)))</f>
        <v>1.2893595394083781</v>
      </c>
      <c r="L8">
        <f>IF(ISBLANK(LSP_All[[#This Row],[M7+]]),"",ABS(LSP_All[[#This Row],[M7+]]-(statistics_M7[[#This Row],[mean_gap]]/365)))</f>
        <v>0.9877875625135899</v>
      </c>
      <c r="M8" t="str">
        <f>IF(ISBLANK(LSP_All[[#This Row],[M8+]]),"",ABS(LSP_All[[#This Row],[M8+]]-(statistics_M8[[#This Row],[mean_gap]]/365)))</f>
        <v/>
      </c>
      <c r="O8">
        <f>IF(ISBLANK(LSP_All[[#This Row],[M4+]]),"",ABS(LSP_All[[#This Row],[M4+]]-(statistics_M4[[#This Row],[exact_mode]]/365)))</f>
        <v>0.60263013698630141</v>
      </c>
      <c r="P8">
        <f>IF(ISBLANK(LSP_All[[#This Row],[M5+]]),"",ABS(LSP_All[[#This Row],[M5+]]-(statistics_M5[[#This Row],[exact_mode]]/365)))</f>
        <v>0.60263013698630141</v>
      </c>
      <c r="Q8">
        <f>IF(ISBLANK(LSP_All[[#This Row],[M6+]]),"",ABS(LSP_All[[#This Row],[M6+]]-(statistics_M6[[#This Row],[exact_mode]]/365)))</f>
        <v>1.6906301369863015</v>
      </c>
      <c r="R8">
        <f>IF(ISBLANK(LSP_All[[#This Row],[M7+]]),"",ABS(LSP_All[[#This Row],[M7+]]-(statistics_M7[[#This Row],[exact_mode]]/365)))</f>
        <v>2.3704794520547945</v>
      </c>
      <c r="S8" t="str">
        <f>IF(ISBLANK(LSP_All[[#This Row],[M8+]]),"",ABS(LSP_All[[#This Row],[M8+]]-(statistics_M8[[#This Row],[exact_mode]]/365)))</f>
        <v/>
      </c>
      <c r="U8">
        <f>IF(ISBLANK(LSP_All[[#This Row],[M4+]]),"",ABS(LSP_All[[#This Row],[M4+]]-(statistics_M4[[#This Row],[median_gap]]/365)))</f>
        <v>0.35742465753424668</v>
      </c>
      <c r="V8">
        <f>IF(ISBLANK(LSP_All[[#This Row],[M5+]]),"",ABS(LSP_All[[#This Row],[M5+]]-(statistics_M5[[#This Row],[median_gap]]/365)))</f>
        <v>0.35742465753424668</v>
      </c>
      <c r="W8">
        <f>IF(ISBLANK(LSP_All[[#This Row],[M6+]]),"",ABS(LSP_All[[#This Row],[M6+]]-(statistics_M6[[#This Row],[median_gap]]/365)))</f>
        <v>1.444054794520548</v>
      </c>
      <c r="X8">
        <f>IF(ISBLANK(LSP_All[[#This Row],[M7+]]),"",ABS(LSP_All[[#This Row],[M7+]]-(statistics_M7[[#This Row],[median_gap]]/365)))</f>
        <v>1.3814383561643835</v>
      </c>
      <c r="Y8" t="str">
        <f>IF(ISBLANK(LSP_All[[#This Row],[M8+]]),"",ABS(LSP_All[[#This Row],[M8+]]-(statistics_M8[[#This Row],[median_gap]]/365)))</f>
        <v/>
      </c>
    </row>
    <row r="9" spans="1:25" x14ac:dyDescent="0.35">
      <c r="A9" t="s">
        <v>11</v>
      </c>
      <c r="B9">
        <v>2</v>
      </c>
      <c r="I9" t="str">
        <f>IF(ISBLANK(LSP_All[[#This Row],[M4+]]),"",ABS(LSP_All[[#This Row],[M4+]]-(statistics_M4[[#This Row],[mean_gap]]/365)))</f>
        <v/>
      </c>
      <c r="J9" t="str">
        <f>IF(ISBLANK(LSP_All[[#This Row],[M5+]]),"",ABS(LSP_All[[#This Row],[M5+]]-(statistics_M5[[#This Row],[mean_gap]]/365)))</f>
        <v/>
      </c>
      <c r="K9" t="str">
        <f>IF(ISBLANK(LSP_All[[#This Row],[M6+]]),"",ABS(LSP_All[[#This Row],[M6+]]-(statistics_M6[[#This Row],[mean_gap]]/365)))</f>
        <v/>
      </c>
      <c r="L9" t="str">
        <f>IF(ISBLANK(LSP_All[[#This Row],[M7+]]),"",ABS(LSP_All[[#This Row],[M7+]]-(statistics_M7[[#This Row],[mean_gap]]/365)))</f>
        <v/>
      </c>
      <c r="M9" t="str">
        <f>IF(ISBLANK(LSP_All[[#This Row],[M8+]]),"",ABS(LSP_All[[#This Row],[M8+]]-(statistics_M8[[#This Row],[mean_gap]]/365)))</f>
        <v/>
      </c>
      <c r="O9" t="str">
        <f>IF(ISBLANK(LSP_All[[#This Row],[M4+]]),"",ABS(LSP_All[[#This Row],[M4+]]-(statistics_M4[[#This Row],[exact_mode]]/365)))</f>
        <v/>
      </c>
      <c r="P9" t="str">
        <f>IF(ISBLANK(LSP_All[[#This Row],[M5+]]),"",ABS(LSP_All[[#This Row],[M5+]]-(statistics_M5[[#This Row],[exact_mode]]/365)))</f>
        <v/>
      </c>
      <c r="Q9" t="str">
        <f>IF(ISBLANK(LSP_All[[#This Row],[M6+]]),"",ABS(LSP_All[[#This Row],[M6+]]-(statistics_M6[[#This Row],[exact_mode]]/365)))</f>
        <v/>
      </c>
      <c r="R9" t="str">
        <f>IF(ISBLANK(LSP_All[[#This Row],[M7+]]),"",ABS(LSP_All[[#This Row],[M7+]]-(statistics_M7[[#This Row],[exact_mode]]/365)))</f>
        <v/>
      </c>
      <c r="S9" t="str">
        <f>IF(ISBLANK(LSP_All[[#This Row],[M8+]]),"",ABS(LSP_All[[#This Row],[M8+]]-(statistics_M8[[#This Row],[exact_mode]]/365)))</f>
        <v/>
      </c>
      <c r="U9" t="str">
        <f>IF(ISBLANK(LSP_All[[#This Row],[M4+]]),"",ABS(LSP_All[[#This Row],[M4+]]-(statistics_M4[[#This Row],[median_gap]]/365)))</f>
        <v/>
      </c>
      <c r="V9" t="str">
        <f>IF(ISBLANK(LSP_All[[#This Row],[M5+]]),"",ABS(LSP_All[[#This Row],[M5+]]-(statistics_M5[[#This Row],[median_gap]]/365)))</f>
        <v/>
      </c>
      <c r="W9" t="str">
        <f>IF(ISBLANK(LSP_All[[#This Row],[M6+]]),"",ABS(LSP_All[[#This Row],[M6+]]-(statistics_M6[[#This Row],[median_gap]]/365)))</f>
        <v/>
      </c>
      <c r="X9" t="str">
        <f>IF(ISBLANK(LSP_All[[#This Row],[M7+]]),"",ABS(LSP_All[[#This Row],[M7+]]-(statistics_M7[[#This Row],[median_gap]]/365)))</f>
        <v/>
      </c>
      <c r="Y9" t="str">
        <f>IF(ISBLANK(LSP_All[[#This Row],[M8+]]),"",ABS(LSP_All[[#This Row],[M8+]]-(statistics_M8[[#This Row],[median_gap]]/365)))</f>
        <v/>
      </c>
    </row>
    <row r="10" spans="1:25" x14ac:dyDescent="0.35">
      <c r="A10" t="s">
        <v>12</v>
      </c>
      <c r="B10">
        <v>1</v>
      </c>
      <c r="C10">
        <v>1.004</v>
      </c>
      <c r="D10">
        <v>1.004</v>
      </c>
      <c r="E10">
        <v>1.004</v>
      </c>
      <c r="F10">
        <v>3.95</v>
      </c>
      <c r="I10">
        <f>IF(ISBLANK(LSP_All[[#This Row],[M4+]]),"",ABS(LSP_All[[#This Row],[M4+]]-('statistics-M4'!$I11/365)))</f>
        <v>4.817542741849834E-2</v>
      </c>
      <c r="J10">
        <f>IF(ISBLANK(LSP_All[[#This Row],[M5+]]),"",ABS(LSP_All[[#This Row],[M5+]]-('statistics-M5'!$I11/365)))</f>
        <v>4.817542741849834E-2</v>
      </c>
      <c r="K10">
        <f>IF(ISBLANK(LSP_All[[#This Row],[M6+]]),"",ABS(LSP_All[[#This Row],[M6+]]-('statistics-M6'!$I11/365)))</f>
        <v>9.6341140079541088E-3</v>
      </c>
      <c r="L10">
        <f>IF(ISBLANK(LSP_All[[#This Row],[M7+]]),"",ABS(LSP_All[[#This Row],[M7+]]-('statistics-M7'!$I11/365)))</f>
        <v>0.21359485263594902</v>
      </c>
      <c r="M10" t="str">
        <f>IF(ISBLANK(LSP_All[[#This Row],[M8+]]),"",ABS(LSP_All[[#This Row],[M8+]]-('statistics-M8'!$I11/365)))</f>
        <v/>
      </c>
      <c r="O10">
        <f>IF(ISBLANK(LSP_All[[#This Row],[M4+]]),"",ABS(LSP_All[[#This Row],[M4+]]-('statistics-M4'!$F11/365)))</f>
        <v>0.39578082191780817</v>
      </c>
      <c r="P10">
        <f>IF(ISBLANK(LSP_All[[#This Row],[M5+]]),"",ABS(LSP_All[[#This Row],[M5+]]-('statistics-M5'!$F11/365)))</f>
        <v>0.39578082191780817</v>
      </c>
      <c r="Q10">
        <f>IF(ISBLANK(LSP_All[[#This Row],[M6+]]),"",ABS(LSP_All[[#This Row],[M6+]]-('statistics-M6'!$F11/365)))</f>
        <v>0.39578082191780817</v>
      </c>
      <c r="R10">
        <f>IF(ISBLANK(LSP_All[[#This Row],[M7+]]),"",ABS(LSP_All[[#This Row],[M7+]]-('statistics-M7'!$F11/365)))</f>
        <v>3.2979452054794525</v>
      </c>
      <c r="S10" t="str">
        <f>IF(ISBLANK(LSP_All[[#This Row],[M8+]]),"",ABS(LSP_All[[#This Row],[M8+]]-('statistics-M8'!$F11/365)))</f>
        <v/>
      </c>
      <c r="U10">
        <f>IF(ISBLANK(LSP_All[[#This Row],[M4+]]),"",ABS(LSP_All[[#This Row],[M4+]]-('statistics-M4'!$J11/365)))</f>
        <v>0.13824657534246576</v>
      </c>
      <c r="V10">
        <f>IF(ISBLANK(LSP_All[[#This Row],[M5+]]),"",ABS(LSP_All[[#This Row],[M5+]]-('statistics-M5'!$J11/365)))</f>
        <v>0.13824657534246576</v>
      </c>
      <c r="W10">
        <f>IF(ISBLANK(LSP_All[[#This Row],[M6+]]),"",ABS(LSP_All[[#This Row],[M6+]]-('statistics-M6'!$J11/365)))</f>
        <v>9.0301369863013736E-2</v>
      </c>
      <c r="X10">
        <f>IF(ISBLANK(LSP_All[[#This Row],[M7+]]),"",ABS(LSP_All[[#This Row],[M7+]]-('statistics-M7'!$J11/365)))</f>
        <v>1.4267123287671235</v>
      </c>
      <c r="Y10" t="str">
        <f>IF(ISBLANK(LSP_All[[#This Row],[M8+]]),"",ABS(LSP_All[[#This Row],[M8+]]-('statistics-M8'!$J11/365)))</f>
        <v/>
      </c>
    </row>
    <row r="11" spans="1:25" x14ac:dyDescent="0.35">
      <c r="A11" t="s">
        <v>13</v>
      </c>
      <c r="B11">
        <v>1</v>
      </c>
      <c r="C11">
        <v>1.802</v>
      </c>
      <c r="D11">
        <v>1.802</v>
      </c>
      <c r="E11">
        <v>1.792</v>
      </c>
      <c r="F11">
        <v>4.7270000000000003</v>
      </c>
      <c r="I11">
        <f>IF(ISBLANK(LSP_All[[#This Row],[M4+]]),"",ABS(LSP_All[[#This Row],[M4+]]-('statistics-M4'!$I14/365)))</f>
        <v>0.90567906066536208</v>
      </c>
      <c r="J11">
        <f>IF(ISBLANK(LSP_All[[#This Row],[M5+]]),"",ABS(LSP_All[[#This Row],[M5+]]-('statistics-M5'!$I14/365)))</f>
        <v>0.90567906066536208</v>
      </c>
      <c r="K11">
        <f>IF(ISBLANK(LSP_All[[#This Row],[M6+]]),"",ABS(LSP_All[[#This Row],[M6+]]-('statistics-M6'!$I14/365)))</f>
        <v>0.88268890212428031</v>
      </c>
      <c r="L11">
        <f>IF(ISBLANK(LSP_All[[#This Row],[M7+]]),"",ABS(LSP_All[[#This Row],[M7+]]-('statistics-M7'!$I14/365)))</f>
        <v>2.0705733022442439</v>
      </c>
      <c r="M11" t="str">
        <f>IF(ISBLANK(LSP_All[[#This Row],[M8+]]),"",ABS(LSP_All[[#This Row],[M8+]]-('statistics-M8'!$I14/365)))</f>
        <v/>
      </c>
      <c r="O11">
        <f>IF(ISBLANK(LSP_All[[#This Row],[M4+]]),"",ABS(LSP_All[[#This Row],[M4+]]-('statistics-M4'!$F14/365)))</f>
        <v>1.3061095890410959</v>
      </c>
      <c r="P11">
        <f>IF(ISBLANK(LSP_All[[#This Row],[M5+]]),"",ABS(LSP_All[[#This Row],[M5+]]-('statistics-M5'!$F14/365)))</f>
        <v>1.3061095890410959</v>
      </c>
      <c r="Q11">
        <f>IF(ISBLANK(LSP_All[[#This Row],[M6+]]),"",ABS(LSP_All[[#This Row],[M6+]]-('statistics-M6'!$F14/365)))</f>
        <v>1.2961095890410959</v>
      </c>
      <c r="R11">
        <f>IF(ISBLANK(LSP_All[[#This Row],[M7+]]),"",ABS(LSP_All[[#This Row],[M7+]]-('statistics-M7'!$F14/365)))</f>
        <v>4.1653561643835619</v>
      </c>
      <c r="S11" t="str">
        <f>IF(ISBLANK(LSP_All[[#This Row],[M8+]]),"",ABS(LSP_All[[#This Row],[M8+]]-('statistics-M8'!$F14/365)))</f>
        <v/>
      </c>
      <c r="U11">
        <f>IF(ISBLANK(LSP_All[[#This Row],[M4+]]),"",ABS(LSP_All[[#This Row],[M4+]]-('statistics-M4'!$J14/365)))</f>
        <v>0.95953424657534248</v>
      </c>
      <c r="V11">
        <f>IF(ISBLANK(LSP_All[[#This Row],[M5+]]),"",ABS(LSP_All[[#This Row],[M5+]]-('statistics-M5'!$J14/365)))</f>
        <v>0.95953424657534248</v>
      </c>
      <c r="W11">
        <f>IF(ISBLANK(LSP_All[[#This Row],[M6+]]),"",ABS(LSP_All[[#This Row],[M6+]]-('statistics-M6'!$J14/365)))</f>
        <v>0.94131506849315072</v>
      </c>
      <c r="X11">
        <f>IF(ISBLANK(LSP_All[[#This Row],[M7+]]),"",ABS(LSP_All[[#This Row],[M7+]]-('statistics-M7'!$J14/365)))</f>
        <v>2.8722054794520551</v>
      </c>
      <c r="Y11" t="str">
        <f>IF(ISBLANK(LSP_All[[#This Row],[M8+]]),"",ABS(LSP_All[[#This Row],[M8+]]-('statistics-M8'!$J14/365)))</f>
        <v/>
      </c>
    </row>
    <row r="12" spans="1:25" x14ac:dyDescent="0.35">
      <c r="A12" t="s">
        <v>13</v>
      </c>
      <c r="B12">
        <v>2</v>
      </c>
      <c r="C12">
        <v>1.911</v>
      </c>
      <c r="D12">
        <v>1.35</v>
      </c>
      <c r="E12">
        <v>2.8660000000000001</v>
      </c>
      <c r="I12">
        <f>IF(ISBLANK(LSP_All[[#This Row],[M4+]]),"",ABS(LSP_All[[#This Row],[M4+]]-('statistics-M4'!$I15/365)))</f>
        <v>1.034763318112633</v>
      </c>
      <c r="J12">
        <f>IF(ISBLANK(LSP_All[[#This Row],[M5+]]),"",ABS(LSP_All[[#This Row],[M5+]]-('statistics-M5'!$I15/365)))</f>
        <v>0.3392178524083076</v>
      </c>
      <c r="K12">
        <f>IF(ISBLANK(LSP_All[[#This Row],[M6+]]),"",ABS(LSP_All[[#This Row],[M6+]]-('statistics-M6'!$I15/365)))</f>
        <v>0.76695193870443479</v>
      </c>
      <c r="L12" t="str">
        <f>IF(ISBLANK(LSP_All[[#This Row],[M7+]]),"",ABS(LSP_All[[#This Row],[M7+]]-('statistics-M7'!$I15/365)))</f>
        <v/>
      </c>
      <c r="M12" t="str">
        <f>IF(ISBLANK(LSP_All[[#This Row],[M8+]]),"",ABS(LSP_All[[#This Row],[M8+]]-('statistics-M8'!$I15/365)))</f>
        <v/>
      </c>
      <c r="O12">
        <f>IF(ISBLANK(LSP_All[[#This Row],[M4+]]),"",ABS(LSP_All[[#This Row],[M4+]]-('statistics-M4'!$F15/365)))</f>
        <v>1.4096301369863014</v>
      </c>
      <c r="P12">
        <f>IF(ISBLANK(LSP_All[[#This Row],[M5+]]),"",ABS(LSP_All[[#This Row],[M5+]]-('statistics-M5'!$F15/365)))</f>
        <v>0.84863013698630141</v>
      </c>
      <c r="Q12">
        <f>IF(ISBLANK(LSP_All[[#This Row],[M6+]]),"",ABS(LSP_All[[#This Row],[M6+]]-('statistics-M6'!$F15/365)))</f>
        <v>2.1235342465753426</v>
      </c>
      <c r="R12" t="str">
        <f>IF(ISBLANK(LSP_All[[#This Row],[M7+]]),"",ABS(LSP_All[[#This Row],[M7+]]-('statistics-M7'!$F15/365)))</f>
        <v/>
      </c>
      <c r="S12" t="str">
        <f>IF(ISBLANK(LSP_All[[#This Row],[M8+]]),"",ABS(LSP_All[[#This Row],[M8+]]-('statistics-M8'!$F15/365)))</f>
        <v/>
      </c>
      <c r="U12">
        <f>IF(ISBLANK(LSP_All[[#This Row],[M4+]]),"",ABS(LSP_All[[#This Row],[M4+]]-('statistics-M4'!$J15/365)))</f>
        <v>1.1014109589041097</v>
      </c>
      <c r="V12">
        <f>IF(ISBLANK(LSP_All[[#This Row],[M5+]]),"",ABS(LSP_All[[#This Row],[M5+]]-('statistics-M5'!$J15/365)))</f>
        <v>0.5034246575342467</v>
      </c>
      <c r="W12">
        <f>IF(ISBLANK(LSP_All[[#This Row],[M6+]]),"",ABS(LSP_All[[#This Row],[M6+]]-('statistics-M6'!$J15/365)))</f>
        <v>1.1838082191780823</v>
      </c>
      <c r="X12" t="str">
        <f>IF(ISBLANK(LSP_All[[#This Row],[M7+]]),"",ABS(LSP_All[[#This Row],[M7+]]-('statistics-M7'!$J15/365)))</f>
        <v/>
      </c>
      <c r="Y12" t="str">
        <f>IF(ISBLANK(LSP_All[[#This Row],[M8+]]),"",ABS(LSP_All[[#This Row],[M8+]]-('statistics-M8'!$J15/365)))</f>
        <v/>
      </c>
    </row>
    <row r="13" spans="1:25" x14ac:dyDescent="0.35">
      <c r="A13" t="s">
        <v>13</v>
      </c>
      <c r="B13">
        <v>3</v>
      </c>
      <c r="C13">
        <v>1.202</v>
      </c>
      <c r="D13">
        <v>1.9670000000000001</v>
      </c>
      <c r="E13">
        <v>4.5650000000000004</v>
      </c>
      <c r="I13">
        <f>IF(ISBLANK(LSP_All[[#This Row],[M4+]]),"",ABS(LSP_All[[#This Row],[M4+]]-('statistics-M4'!$I16/365)))</f>
        <v>0.24411532335138564</v>
      </c>
      <c r="J13">
        <f>IF(ISBLANK(LSP_All[[#This Row],[M5+]]),"",ABS(LSP_All[[#This Row],[M5+]]-('statistics-M5'!$I16/365)))</f>
        <v>0.28484574967160836</v>
      </c>
      <c r="K13">
        <f>IF(ISBLANK(LSP_All[[#This Row],[M6+]]),"",ABS(LSP_All[[#This Row],[M6+]]-('statistics-M6'!$I16/365)))</f>
        <v>0.15543378995433699</v>
      </c>
      <c r="L13" t="str">
        <f>IF(ISBLANK(LSP_All[[#This Row],[M7+]]),"",ABS(LSP_All[[#This Row],[M7+]]-('statistics-M7'!$I16/365)))</f>
        <v/>
      </c>
      <c r="M13" t="str">
        <f>IF(ISBLANK(LSP_All[[#This Row],[M8+]]),"",ABS(LSP_All[[#This Row],[M8+]]-('statistics-M8'!$I16/365)))</f>
        <v/>
      </c>
      <c r="O13">
        <f>IF(ISBLANK(LSP_All[[#This Row],[M4+]]),"",ABS(LSP_All[[#This Row],[M4+]]-('statistics-M4'!$F16/365)))</f>
        <v>0.43213698630136987</v>
      </c>
      <c r="P13">
        <f>IF(ISBLANK(LSP_All[[#This Row],[M5+]]),"",ABS(LSP_All[[#This Row],[M5+]]-('statistics-M5'!$F16/365)))</f>
        <v>1.3259041095890411</v>
      </c>
      <c r="Q13">
        <f>IF(ISBLANK(LSP_All[[#This Row],[M6+]]),"",ABS(LSP_All[[#This Row],[M6+]]-('statistics-M6'!$F16/365)))</f>
        <v>3.9430821917808223</v>
      </c>
      <c r="R13" t="str">
        <f>IF(ISBLANK(LSP_All[[#This Row],[M7+]]),"",ABS(LSP_All[[#This Row],[M7+]]-('statistics-M7'!$F16/365)))</f>
        <v/>
      </c>
      <c r="S13" t="str">
        <f>IF(ISBLANK(LSP_All[[#This Row],[M8+]]),"",ABS(LSP_All[[#This Row],[M8+]]-('statistics-M8'!$F16/365)))</f>
        <v/>
      </c>
      <c r="U13">
        <f>IF(ISBLANK(LSP_All[[#This Row],[M4+]]),"",ABS(LSP_All[[#This Row],[M4+]]-('statistics-M4'!$J16/365)))</f>
        <v>0.36912328767123281</v>
      </c>
      <c r="V13">
        <f>IF(ISBLANK(LSP_All[[#This Row],[M5+]]),"",ABS(LSP_All[[#This Row],[M5+]]-('statistics-M5'!$J16/365)))</f>
        <v>0.54508219178082196</v>
      </c>
      <c r="W13">
        <f>IF(ISBLANK(LSP_All[[#This Row],[M6+]]),"",ABS(LSP_All[[#This Row],[M6+]]-('statistics-M6'!$J16/365)))</f>
        <v>1.7307534246575345</v>
      </c>
      <c r="X13" t="str">
        <f>IF(ISBLANK(LSP_All[[#This Row],[M7+]]),"",ABS(LSP_All[[#This Row],[M7+]]-('statistics-M7'!$J16/365)))</f>
        <v/>
      </c>
      <c r="Y13" t="str">
        <f>IF(ISBLANK(LSP_All[[#This Row],[M8+]]),"",ABS(LSP_All[[#This Row],[M8+]]-('statistics-M8'!$J16/365)))</f>
        <v/>
      </c>
    </row>
    <row r="14" spans="1:25" x14ac:dyDescent="0.35">
      <c r="A14" t="s">
        <v>14</v>
      </c>
      <c r="B14">
        <v>1</v>
      </c>
      <c r="C14">
        <v>1.4790000000000001</v>
      </c>
      <c r="D14">
        <v>1.4790000000000001</v>
      </c>
      <c r="E14">
        <v>1.472</v>
      </c>
      <c r="F14">
        <v>3.8820000000000001</v>
      </c>
      <c r="I14">
        <f>IF(ISBLANK(LSP_All[[#This Row],[M4+]]),"",ABS(LSP_All[[#This Row],[M4+]]-('statistics-M4'!$I17/365)))</f>
        <v>0.47871732985431636</v>
      </c>
      <c r="J14">
        <f>IF(ISBLANK(LSP_All[[#This Row],[M5+]]),"",ABS(LSP_All[[#This Row],[M5+]]-('statistics-M5'!$I17/365)))</f>
        <v>0.47871732985431636</v>
      </c>
      <c r="K14">
        <f>IF(ISBLANK(LSP_All[[#This Row],[M6+]]),"",ABS(LSP_All[[#This Row],[M6+]]-('statistics-M6'!$I17/365)))</f>
        <v>0.31570994093251215</v>
      </c>
      <c r="L14">
        <f>IF(ISBLANK(LSP_All[[#This Row],[M7+]]),"",ABS(LSP_All[[#This Row],[M7+]]-('statistics-M7'!$I17/365)))</f>
        <v>0.95949510763209389</v>
      </c>
      <c r="M14" t="str">
        <f>IF(ISBLANK(LSP_All[[#This Row],[M8+]]),"",ABS(LSP_All[[#This Row],[M8+]]-('statistics-M8'!$I17/365)))</f>
        <v/>
      </c>
      <c r="O14">
        <f>IF(ISBLANK(LSP_All[[#This Row],[M4+]]),"",ABS(LSP_All[[#This Row],[M4+]]-('statistics-M4'!$F17/365)))</f>
        <v>0.96667123287671242</v>
      </c>
      <c r="P14">
        <f>IF(ISBLANK(LSP_All[[#This Row],[M5+]]),"",ABS(LSP_All[[#This Row],[M5+]]-('statistics-M5'!$F17/365)))</f>
        <v>0.96667123287671242</v>
      </c>
      <c r="Q14">
        <f>IF(ISBLANK(LSP_All[[#This Row],[M6+]]),"",ABS(LSP_All[[#This Row],[M6+]]-('statistics-M6'!$F17/365)))</f>
        <v>0.9596712328767123</v>
      </c>
      <c r="R14">
        <f>IF(ISBLANK(LSP_All[[#This Row],[M7+]]),"",ABS(LSP_All[[#This Row],[M7+]]-('statistics-M7'!$F17/365)))</f>
        <v>1.8025479452054798</v>
      </c>
      <c r="S14" t="str">
        <f>IF(ISBLANK(LSP_All[[#This Row],[M8+]]),"",ABS(LSP_All[[#This Row],[M8+]]-('statistics-M8'!$F17/365)))</f>
        <v/>
      </c>
      <c r="U14">
        <f>IF(ISBLANK(LSP_All[[#This Row],[M4+]]),"",ABS(LSP_All[[#This Row],[M4+]]-('statistics-M4'!$J17/365)))</f>
        <v>0.56256164383561658</v>
      </c>
      <c r="V14">
        <f>IF(ISBLANK(LSP_All[[#This Row],[M5+]]),"",ABS(LSP_All[[#This Row],[M5+]]-('statistics-M5'!$J17/365)))</f>
        <v>0.56256164383561658</v>
      </c>
      <c r="W14">
        <f>IF(ISBLANK(LSP_All[[#This Row],[M6+]]),"",ABS(LSP_All[[#This Row],[M6+]]-('statistics-M6'!$J17/365)))</f>
        <v>0.47747945205479447</v>
      </c>
      <c r="X14">
        <f>IF(ISBLANK(LSP_All[[#This Row],[M7+]]),"",ABS(LSP_All[[#This Row],[M7+]]-('statistics-M7'!$J17/365)))</f>
        <v>1.649123287671233</v>
      </c>
      <c r="Y14" t="str">
        <f>IF(ISBLANK(LSP_All[[#This Row],[M8+]]),"",ABS(LSP_All[[#This Row],[M8+]]-('statistics-M8'!$J17/365)))</f>
        <v/>
      </c>
    </row>
    <row r="15" spans="1:25" x14ac:dyDescent="0.35">
      <c r="A15" t="s">
        <v>14</v>
      </c>
      <c r="B15">
        <v>2</v>
      </c>
      <c r="C15">
        <v>2.3410000000000002</v>
      </c>
      <c r="D15">
        <v>1.216</v>
      </c>
      <c r="E15">
        <v>2.734</v>
      </c>
      <c r="I15">
        <f>IF(ISBLANK(LSP_All[[#This Row],[M4+]]),"",ABS(LSP_All[[#This Row],[M4+]]-('statistics-M4'!$I18/365)))</f>
        <v>1.3276157646530431</v>
      </c>
      <c r="J15">
        <f>IF(ISBLANK(LSP_All[[#This Row],[M5+]]),"",ABS(LSP_All[[#This Row],[M5+]]-('statistics-M5'!$I18/365)))</f>
        <v>9.2064757160647437E-2</v>
      </c>
      <c r="K15">
        <f>IF(ISBLANK(LSP_All[[#This Row],[M6+]]),"",ABS(LSP_All[[#This Row],[M6+]]-('statistics-M6'!$I18/365)))</f>
        <v>0.91586946011281212</v>
      </c>
      <c r="L15" t="str">
        <f>IF(ISBLANK(LSP_All[[#This Row],[M7+]]),"",ABS(LSP_All[[#This Row],[M7+]]-('statistics-M7'!$I18/365)))</f>
        <v/>
      </c>
      <c r="M15" t="str">
        <f>IF(ISBLANK(LSP_All[[#This Row],[M8+]]),"",ABS(LSP_All[[#This Row],[M8+]]-('statistics-M8'!$I18/365)))</f>
        <v/>
      </c>
      <c r="O15">
        <f>IF(ISBLANK(LSP_All[[#This Row],[M4+]]),"",ABS(LSP_All[[#This Row],[M4+]]-('statistics-M4'!$F18/365)))</f>
        <v>1.677986301369863</v>
      </c>
      <c r="P15">
        <f>IF(ISBLANK(LSP_All[[#This Row],[M5+]]),"",ABS(LSP_All[[#This Row],[M5+]]-('statistics-M5'!$F18/365)))</f>
        <v>0.68449315068493144</v>
      </c>
      <c r="Q15">
        <f>IF(ISBLANK(LSP_All[[#This Row],[M6+]]),"",ABS(LSP_All[[#This Row],[M6+]]-('statistics-M6'!$F18/365)))</f>
        <v>1.8024931506849315</v>
      </c>
      <c r="R15" t="str">
        <f>IF(ISBLANK(LSP_All[[#This Row],[M7+]]),"",ABS(LSP_All[[#This Row],[M7+]]-('statistics-M7'!$F18/365)))</f>
        <v/>
      </c>
      <c r="S15" t="str">
        <f>IF(ISBLANK(LSP_All[[#This Row],[M8+]]),"",ABS(LSP_All[[#This Row],[M8+]]-('statistics-M8'!$F18/365)))</f>
        <v/>
      </c>
      <c r="U15">
        <f>IF(ISBLANK(LSP_All[[#This Row],[M4+]]),"",ABS(LSP_All[[#This Row],[M4+]]-('statistics-M4'!$J18/365)))</f>
        <v>1.5204520547945206</v>
      </c>
      <c r="V15">
        <f>IF(ISBLANK(LSP_All[[#This Row],[M5+]]),"",ABS(LSP_All[[#This Row],[M5+]]-('statistics-M5'!$J18/365)))</f>
        <v>0.34887671232876705</v>
      </c>
      <c r="W15">
        <f>IF(ISBLANK(LSP_All[[#This Row],[M6+]]),"",ABS(LSP_All[[#This Row],[M6+]]-('statistics-M6'!$J18/365)))</f>
        <v>1.3093424657534247</v>
      </c>
      <c r="X15" t="str">
        <f>IF(ISBLANK(LSP_All[[#This Row],[M7+]]),"",ABS(LSP_All[[#This Row],[M7+]]-('statistics-M7'!$J18/365)))</f>
        <v/>
      </c>
      <c r="Y15" t="str">
        <f>IF(ISBLANK(LSP_All[[#This Row],[M8+]]),"",ABS(LSP_All[[#This Row],[M8+]]-('statistics-M8'!$J18/365)))</f>
        <v/>
      </c>
    </row>
    <row r="16" spans="1:25" x14ac:dyDescent="0.35">
      <c r="A16" t="s">
        <v>14</v>
      </c>
      <c r="B16">
        <v>3</v>
      </c>
      <c r="C16">
        <v>3.1890000000000001</v>
      </c>
      <c r="D16">
        <v>3.5910000000000002</v>
      </c>
      <c r="I16">
        <f>IF(ISBLANK(LSP_All[[#This Row],[M4+]]),"",ABS(LSP_All[[#This Row],[M4+]]-('statistics-M4'!$I19/365)))</f>
        <v>1.6537260273972603</v>
      </c>
      <c r="J16">
        <f>IF(ISBLANK(LSP_All[[#This Row],[M5+]]),"",ABS(LSP_All[[#This Row],[M5+]]-('statistics-M5'!$I19/365)))</f>
        <v>1.5964794520547947</v>
      </c>
      <c r="K16" t="str">
        <f>IF(ISBLANK(LSP_All[[#This Row],[M6+]]),"",ABS(LSP_All[[#This Row],[M6+]]-('statistics-M6'!$I19/365)))</f>
        <v/>
      </c>
      <c r="L16" t="str">
        <f>IF(ISBLANK(LSP_All[[#This Row],[M7+]]),"",ABS(LSP_All[[#This Row],[M7+]]-('statistics-M7'!$I19/365)))</f>
        <v/>
      </c>
      <c r="M16" t="str">
        <f>IF(ISBLANK(LSP_All[[#This Row],[M8+]]),"",ABS(LSP_All[[#This Row],[M8+]]-('statistics-M8'!$I19/365)))</f>
        <v/>
      </c>
      <c r="O16">
        <f>IF(ISBLANK(LSP_All[[#This Row],[M4+]]),"",ABS(LSP_All[[#This Row],[M4+]]-('statistics-M4'!$F19/365)))</f>
        <v>2.578041095890411</v>
      </c>
      <c r="P16">
        <f>IF(ISBLANK(LSP_All[[#This Row],[M5+]]),"",ABS(LSP_All[[#This Row],[M5+]]-('statistics-M5'!$F19/365)))</f>
        <v>2.9800410958904111</v>
      </c>
      <c r="Q16" t="str">
        <f>IF(ISBLANK(LSP_All[[#This Row],[M6+]]),"",ABS(LSP_All[[#This Row],[M6+]]-('statistics-M6'!$F19/365)))</f>
        <v/>
      </c>
      <c r="R16" t="str">
        <f>IF(ISBLANK(LSP_All[[#This Row],[M7+]]),"",ABS(LSP_All[[#This Row],[M7+]]-('statistics-M7'!$F19/365)))</f>
        <v/>
      </c>
      <c r="S16" t="str">
        <f>IF(ISBLANK(LSP_All[[#This Row],[M8+]]),"",ABS(LSP_All[[#This Row],[M8+]]-('statistics-M8'!$F19/365)))</f>
        <v/>
      </c>
      <c r="U16">
        <f>IF(ISBLANK(LSP_All[[#This Row],[M4+]]),"",ABS(LSP_All[[#This Row],[M4+]]-('statistics-M4'!$J19/365)))</f>
        <v>2.2259863013698631</v>
      </c>
      <c r="V16">
        <f>IF(ISBLANK(LSP_All[[#This Row],[M5+]]),"",ABS(LSP_All[[#This Row],[M5+]]-('statistics-M5'!$J19/365)))</f>
        <v>2.4485342465753428</v>
      </c>
      <c r="W16" t="str">
        <f>IF(ISBLANK(LSP_All[[#This Row],[M6+]]),"",ABS(LSP_All[[#This Row],[M6+]]-('statistics-M6'!$J19/365)))</f>
        <v/>
      </c>
      <c r="X16" t="str">
        <f>IF(ISBLANK(LSP_All[[#This Row],[M7+]]),"",ABS(LSP_All[[#This Row],[M7+]]-('statistics-M7'!$J19/365)))</f>
        <v/>
      </c>
      <c r="Y16" t="str">
        <f>IF(ISBLANK(LSP_All[[#This Row],[M8+]]),"",ABS(LSP_All[[#This Row],[M8+]]-('statistics-M8'!$J19/365)))</f>
        <v/>
      </c>
    </row>
    <row r="17" spans="1:25" x14ac:dyDescent="0.35">
      <c r="A17" t="s">
        <v>15</v>
      </c>
      <c r="B17">
        <v>1</v>
      </c>
      <c r="C17">
        <v>2.6469999999999998</v>
      </c>
      <c r="D17">
        <v>2.661</v>
      </c>
      <c r="E17">
        <v>3.5590000000000002</v>
      </c>
      <c r="I17">
        <f>IF(ISBLANK(LSP_All[[#This Row],[M4+]]),"",ABS(LSP_All[[#This Row],[M4+]]-('statistics-M4'!$I20/365)))</f>
        <v>1.468833939055074</v>
      </c>
      <c r="J17">
        <f>IF(ISBLANK(LSP_All[[#This Row],[M5+]]),"",ABS(LSP_All[[#This Row],[M5+]]-('statistics-M5'!$I20/365)))</f>
        <v>1.408945205479452</v>
      </c>
      <c r="K17">
        <f>IF(ISBLANK(LSP_All[[#This Row],[M6+]]),"",ABS(LSP_All[[#This Row],[M6+]]-('statistics-M6'!$I20/365)))</f>
        <v>1.6600502283105025</v>
      </c>
      <c r="L17" t="str">
        <f>IF(ISBLANK(LSP_All[[#This Row],[M7+]]),"",ABS(LSP_All[[#This Row],[M7+]]-('statistics-M7'!$I20/365)))</f>
        <v/>
      </c>
      <c r="M17" t="str">
        <f>IF(ISBLANK(LSP_All[[#This Row],[M8+]]),"",ABS(LSP_All[[#This Row],[M8+]]-('statistics-M8'!$I20/365)))</f>
        <v/>
      </c>
      <c r="O17">
        <f>IF(ISBLANK(LSP_All[[#This Row],[M4+]]),"",ABS(LSP_All[[#This Row],[M4+]]-('statistics-M4'!$F20/365)))</f>
        <v>1.8086438356164383</v>
      </c>
      <c r="P17">
        <f>IF(ISBLANK(LSP_All[[#This Row],[M5+]]),"",ABS(LSP_All[[#This Row],[M5+]]-('statistics-M5'!$F20/365)))</f>
        <v>1.8226438356164385</v>
      </c>
      <c r="Q17">
        <f>IF(ISBLANK(LSP_All[[#This Row],[M6+]]),"",ABS(LSP_All[[#This Row],[M6+]]-('statistics-M6'!$F20/365)))</f>
        <v>2.9206438356164384</v>
      </c>
      <c r="R17" t="str">
        <f>IF(ISBLANK(LSP_All[[#This Row],[M7+]]),"",ABS(LSP_All[[#This Row],[M7+]]-('statistics-M7'!$F20/365)))</f>
        <v/>
      </c>
      <c r="S17" t="str">
        <f>IF(ISBLANK(LSP_All[[#This Row],[M8+]]),"",ABS(LSP_All[[#This Row],[M8+]]-('statistics-M8'!$F20/365)))</f>
        <v/>
      </c>
      <c r="U17">
        <f>IF(ISBLANK(LSP_All[[#This Row],[M4+]]),"",ABS(LSP_All[[#This Row],[M4+]]-('statistics-M4'!$J20/365)))</f>
        <v>1.7333013698630135</v>
      </c>
      <c r="V17">
        <f>IF(ISBLANK(LSP_All[[#This Row],[M5+]]),"",ABS(LSP_All[[#This Row],[M5+]]-('statistics-M5'!$J20/365)))</f>
        <v>1.6883972602739727</v>
      </c>
      <c r="W17">
        <f>IF(ISBLANK(LSP_All[[#This Row],[M6+]]),"",ABS(LSP_All[[#This Row],[M6+]]-('statistics-M6'!$J20/365)))</f>
        <v>2.1411917808219183</v>
      </c>
      <c r="X17" t="str">
        <f>IF(ISBLANK(LSP_All[[#This Row],[M7+]]),"",ABS(LSP_All[[#This Row],[M7+]]-('statistics-M7'!$J20/365)))</f>
        <v/>
      </c>
      <c r="Y17" t="str">
        <f>IF(ISBLANK(LSP_All[[#This Row],[M8+]]),"",ABS(LSP_All[[#This Row],[M8+]]-('statistics-M8'!$J20/365)))</f>
        <v/>
      </c>
    </row>
    <row r="18" spans="1:25" x14ac:dyDescent="0.35">
      <c r="A18" t="s">
        <v>15</v>
      </c>
      <c r="B18">
        <v>2</v>
      </c>
      <c r="C18">
        <v>2.4420000000000002</v>
      </c>
      <c r="D18">
        <v>7.1769999999999996</v>
      </c>
      <c r="I18">
        <f>IF(ISBLANK(LSP_All[[#This Row],[M4+]]),"",ABS(LSP_All[[#This Row],[M4+]]-('statistics-M4'!$I21/365)))</f>
        <v>0.61484097677188809</v>
      </c>
      <c r="J18">
        <f>IF(ISBLANK(LSP_All[[#This Row],[M5+]]),"",ABS(LSP_All[[#This Row],[M5+]]-('statistics-M5'!$I21/365)))</f>
        <v>2.6122941176470587</v>
      </c>
      <c r="K18" t="str">
        <f>IF(ISBLANK(LSP_All[[#This Row],[M6+]]),"",ABS(LSP_All[[#This Row],[M6+]]-('statistics-M6'!$I21/365)))</f>
        <v/>
      </c>
      <c r="L18" t="str">
        <f>IF(ISBLANK(LSP_All[[#This Row],[M7+]]),"",ABS(LSP_All[[#This Row],[M7+]]-('statistics-M7'!$I21/365)))</f>
        <v/>
      </c>
      <c r="M18" t="str">
        <f>IF(ISBLANK(LSP_All[[#This Row],[M8+]]),"",ABS(LSP_All[[#This Row],[M8+]]-('statistics-M8'!$I21/365)))</f>
        <v/>
      </c>
      <c r="O18">
        <f>IF(ISBLANK(LSP_All[[#This Row],[M4+]]),"",ABS(LSP_All[[#This Row],[M4+]]-('statistics-M4'!$F21/365)))</f>
        <v>1.5022739726027399</v>
      </c>
      <c r="P18">
        <f>IF(ISBLANK(LSP_All[[#This Row],[M5+]]),"",ABS(LSP_All[[#This Row],[M5+]]-('statistics-M5'!$F21/365)))</f>
        <v>6.5222054794520545</v>
      </c>
      <c r="Q18" t="str">
        <f>IF(ISBLANK(LSP_All[[#This Row],[M6+]]),"",ABS(LSP_All[[#This Row],[M6+]]-('statistics-M6'!$F21/365)))</f>
        <v/>
      </c>
      <c r="R18" t="str">
        <f>IF(ISBLANK(LSP_All[[#This Row],[M7+]]),"",ABS(LSP_All[[#This Row],[M7+]]-('statistics-M7'!$F21/365)))</f>
        <v/>
      </c>
      <c r="S18" t="str">
        <f>IF(ISBLANK(LSP_All[[#This Row],[M8+]]),"",ABS(LSP_All[[#This Row],[M8+]]-('statistics-M8'!$F21/365)))</f>
        <v/>
      </c>
      <c r="U18">
        <f>IF(ISBLANK(LSP_All[[#This Row],[M4+]]),"",ABS(LSP_All[[#This Row],[M4+]]-('statistics-M4'!$J21/365)))</f>
        <v>1.3420000000000001</v>
      </c>
      <c r="V18">
        <f>IF(ISBLANK(LSP_All[[#This Row],[M5+]]),"",ABS(LSP_All[[#This Row],[M5+]]-('statistics-M5'!$J21/365)))</f>
        <v>4.2619315068493151</v>
      </c>
      <c r="W18" t="str">
        <f>IF(ISBLANK(LSP_All[[#This Row],[M6+]]),"",ABS(LSP_All[[#This Row],[M6+]]-('statistics-M6'!$J21/365)))</f>
        <v/>
      </c>
      <c r="X18" t="str">
        <f>IF(ISBLANK(LSP_All[[#This Row],[M7+]]),"",ABS(LSP_All[[#This Row],[M7+]]-('statistics-M7'!$J21/365)))</f>
        <v/>
      </c>
      <c r="Y18" t="str">
        <f>IF(ISBLANK(LSP_All[[#This Row],[M8+]]),"",ABS(LSP_All[[#This Row],[M8+]]-('statistics-M8'!$J21/365)))</f>
        <v/>
      </c>
    </row>
    <row r="19" spans="1:25" x14ac:dyDescent="0.35">
      <c r="A19" t="s">
        <v>15</v>
      </c>
      <c r="B19">
        <v>3</v>
      </c>
      <c r="C19">
        <v>3.9039999999999999</v>
      </c>
      <c r="I19">
        <f>IF(ISBLANK(LSP_All[[#This Row],[M4+]]),"",ABS(LSP_All[[#This Row],[M4+]]-('statistics-M4'!$I22/365)))</f>
        <v>1.3533150684931505</v>
      </c>
      <c r="J19" t="str">
        <f>IF(ISBLANK(LSP_All[[#This Row],[M5+]]),"",ABS(LSP_All[[#This Row],[M5+]]-('statistics-M5'!$I22/365)))</f>
        <v/>
      </c>
      <c r="K19" t="str">
        <f>IF(ISBLANK(LSP_All[[#This Row],[M6+]]),"",ABS(LSP_All[[#This Row],[M6+]]-('statistics-M6'!$I22/365)))</f>
        <v/>
      </c>
      <c r="L19" t="str">
        <f>IF(ISBLANK(LSP_All[[#This Row],[M7+]]),"",ABS(LSP_All[[#This Row],[M7+]]-('statistics-M7'!$I22/365)))</f>
        <v/>
      </c>
      <c r="M19" t="str">
        <f>IF(ISBLANK(LSP_All[[#This Row],[M8+]]),"",ABS(LSP_All[[#This Row],[M8+]]-('statistics-M8'!$I22/365)))</f>
        <v/>
      </c>
      <c r="O19">
        <f>IF(ISBLANK(LSP_All[[#This Row],[M4+]]),"",ABS(LSP_All[[#This Row],[M4+]]-('statistics-M4'!$F22/365)))</f>
        <v>3.2355068493150685</v>
      </c>
      <c r="P19" t="str">
        <f>IF(ISBLANK(LSP_All[[#This Row],[M5+]]),"",ABS(LSP_All[[#This Row],[M5+]]-('statistics-M5'!$F22/365)))</f>
        <v/>
      </c>
      <c r="Q19" t="str">
        <f>IF(ISBLANK(LSP_All[[#This Row],[M6+]]),"",ABS(LSP_All[[#This Row],[M6+]]-('statistics-M6'!$F22/365)))</f>
        <v/>
      </c>
      <c r="R19" t="str">
        <f>IF(ISBLANK(LSP_All[[#This Row],[M7+]]),"",ABS(LSP_All[[#This Row],[M7+]]-('statistics-M7'!$F22/365)))</f>
        <v/>
      </c>
      <c r="S19" t="str">
        <f>IF(ISBLANK(LSP_All[[#This Row],[M8+]]),"",ABS(LSP_All[[#This Row],[M8+]]-('statistics-M8'!$F22/365)))</f>
        <v/>
      </c>
      <c r="U19">
        <f>IF(ISBLANK(LSP_All[[#This Row],[M4+]]),"",ABS(LSP_All[[#This Row],[M4+]]-('statistics-M4'!$J22/365)))</f>
        <v>2.1971506849315068</v>
      </c>
      <c r="V19" t="str">
        <f>IF(ISBLANK(LSP_All[[#This Row],[M5+]]),"",ABS(LSP_All[[#This Row],[M5+]]-('statistics-M5'!$J22/365)))</f>
        <v/>
      </c>
      <c r="W19" t="str">
        <f>IF(ISBLANK(LSP_All[[#This Row],[M6+]]),"",ABS(LSP_All[[#This Row],[M6+]]-('statistics-M6'!$J22/365)))</f>
        <v/>
      </c>
      <c r="X19" t="str">
        <f>IF(ISBLANK(LSP_All[[#This Row],[M7+]]),"",ABS(LSP_All[[#This Row],[M7+]]-('statistics-M7'!$J22/365)))</f>
        <v/>
      </c>
      <c r="Y19" t="str">
        <f>IF(ISBLANK(LSP_All[[#This Row],[M8+]]),"",ABS(LSP_All[[#This Row],[M8+]]-('statistics-M8'!$J22/365)))</f>
        <v/>
      </c>
    </row>
    <row r="20" spans="1:25" x14ac:dyDescent="0.35">
      <c r="A20" t="s">
        <v>16</v>
      </c>
      <c r="B20">
        <v>1</v>
      </c>
      <c r="C20">
        <v>1.3440000000000001</v>
      </c>
      <c r="D20">
        <v>1.3440000000000001</v>
      </c>
      <c r="E20">
        <v>2.73</v>
      </c>
      <c r="I20">
        <f>IF(ISBLANK(LSP_All[[#This Row],[M4+]]),"",ABS(LSP_All[[#This Row],[M4+]]-('statistics-M4'!$I23/365)))</f>
        <v>8.8845717448457373E-2</v>
      </c>
      <c r="J20">
        <f>IF(ISBLANK(LSP_All[[#This Row],[M5+]]),"",ABS(LSP_All[[#This Row],[M5+]]-('statistics-M5'!$I23/365)))</f>
        <v>8.8845717448457373E-2</v>
      </c>
      <c r="K20">
        <f>IF(ISBLANK(LSP_All[[#This Row],[M6+]]),"",ABS(LSP_All[[#This Row],[M6+]]-('statistics-M6'!$I23/365)))</f>
        <v>0.23327089740005569</v>
      </c>
      <c r="L20" t="str">
        <f>IF(ISBLANK(LSP_All[[#This Row],[M7+]]),"",ABS(LSP_All[[#This Row],[M7+]]-('statistics-M7'!$I23/365)))</f>
        <v/>
      </c>
      <c r="M20" t="str">
        <f>IF(ISBLANK(LSP_All[[#This Row],[M8+]]),"",ABS(LSP_All[[#This Row],[M8+]]-('statistics-M8'!$I23/365)))</f>
        <v/>
      </c>
      <c r="O20">
        <f>IF(ISBLANK(LSP_All[[#This Row],[M4+]]),"",ABS(LSP_All[[#This Row],[M4+]]-('statistics-M4'!$F23/365)))</f>
        <v>0.83989041095890415</v>
      </c>
      <c r="P20">
        <f>IF(ISBLANK(LSP_All[[#This Row],[M5+]]),"",ABS(LSP_All[[#This Row],[M5+]]-('statistics-M5'!$F23/365)))</f>
        <v>0.83989041095890415</v>
      </c>
      <c r="Q20">
        <f>IF(ISBLANK(LSP_All[[#This Row],[M6+]]),"",ABS(LSP_All[[#This Row],[M6+]]-('statistics-M6'!$F23/365)))</f>
        <v>1.8560273972602741</v>
      </c>
      <c r="R20" t="str">
        <f>IF(ISBLANK(LSP_All[[#This Row],[M7+]]),"",ABS(LSP_All[[#This Row],[M7+]]-('statistics-M7'!$F23/365)))</f>
        <v/>
      </c>
      <c r="S20" t="str">
        <f>IF(ISBLANK(LSP_All[[#This Row],[M8+]]),"",ABS(LSP_All[[#This Row],[M8+]]-('statistics-M8'!$F23/365)))</f>
        <v/>
      </c>
      <c r="U20">
        <f>IF(ISBLANK(LSP_All[[#This Row],[M4+]]),"",ABS(LSP_All[[#This Row],[M4+]]-('statistics-M4'!$J23/365)))</f>
        <v>0.45358904109589049</v>
      </c>
      <c r="V20">
        <f>IF(ISBLANK(LSP_All[[#This Row],[M5+]]),"",ABS(LSP_All[[#This Row],[M5+]]-('statistics-M5'!$J23/365)))</f>
        <v>0.45358904109589049</v>
      </c>
      <c r="W20">
        <f>IF(ISBLANK(LSP_All[[#This Row],[M6+]]),"",ABS(LSP_All[[#This Row],[M6+]]-('statistics-M6'!$J23/365)))</f>
        <v>1.0724657534246576</v>
      </c>
      <c r="X20" t="str">
        <f>IF(ISBLANK(LSP_All[[#This Row],[M7+]]),"",ABS(LSP_All[[#This Row],[M7+]]-('statistics-M7'!$J23/365)))</f>
        <v/>
      </c>
      <c r="Y20" t="str">
        <f>IF(ISBLANK(LSP_All[[#This Row],[M8+]]),"",ABS(LSP_All[[#This Row],[M8+]]-('statistics-M8'!$J23/365)))</f>
        <v/>
      </c>
    </row>
    <row r="21" spans="1:25" x14ac:dyDescent="0.35">
      <c r="A21" t="s">
        <v>16</v>
      </c>
      <c r="B21">
        <v>2</v>
      </c>
      <c r="C21">
        <v>8.3629999999999995</v>
      </c>
      <c r="I21">
        <f>IF(ISBLANK(LSP_All[[#This Row],[M4+]]),"",ABS(LSP_All[[#This Row],[M4+]]-('statistics-M4'!$I24/365)))</f>
        <v>2.3713633741888964</v>
      </c>
      <c r="J21" t="str">
        <f>IF(ISBLANK(LSP_All[[#This Row],[M5+]]),"",ABS(LSP_All[[#This Row],[M5+]]-('statistics-M5'!$I24/365)))</f>
        <v/>
      </c>
      <c r="K21" t="str">
        <f>IF(ISBLANK(LSP_All[[#This Row],[M6+]]),"",ABS(LSP_All[[#This Row],[M6+]]-('statistics-M6'!$I24/365)))</f>
        <v/>
      </c>
      <c r="L21" t="str">
        <f>IF(ISBLANK(LSP_All[[#This Row],[M7+]]),"",ABS(LSP_All[[#This Row],[M7+]]-('statistics-M7'!$I24/365)))</f>
        <v/>
      </c>
      <c r="M21" t="str">
        <f>IF(ISBLANK(LSP_All[[#This Row],[M8+]]),"",ABS(LSP_All[[#This Row],[M8+]]-('statistics-M8'!$I24/365)))</f>
        <v/>
      </c>
      <c r="O21">
        <f>IF(ISBLANK(LSP_All[[#This Row],[M4+]]),"",ABS(LSP_All[[#This Row],[M4+]]-('statistics-M4'!$F24/365)))</f>
        <v>7.7849178082191779</v>
      </c>
      <c r="P21" t="str">
        <f>IF(ISBLANK(LSP_All[[#This Row],[M5+]]),"",ABS(LSP_All[[#This Row],[M5+]]-('statistics-M5'!$F24/365)))</f>
        <v/>
      </c>
      <c r="Q21" t="str">
        <f>IF(ISBLANK(LSP_All[[#This Row],[M6+]]),"",ABS(LSP_All[[#This Row],[M6+]]-('statistics-M6'!$F24/365)))</f>
        <v/>
      </c>
      <c r="R21" t="str">
        <f>IF(ISBLANK(LSP_All[[#This Row],[M7+]]),"",ABS(LSP_All[[#This Row],[M7+]]-('statistics-M7'!$F24/365)))</f>
        <v/>
      </c>
      <c r="S21" t="str">
        <f>IF(ISBLANK(LSP_All[[#This Row],[M8+]]),"",ABS(LSP_All[[#This Row],[M8+]]-('statistics-M8'!$F24/365)))</f>
        <v/>
      </c>
      <c r="U21">
        <f>IF(ISBLANK(LSP_All[[#This Row],[M4+]]),"",ABS(LSP_All[[#This Row],[M4+]]-('statistics-M4'!$J24/365)))</f>
        <v>6.2095753424657527</v>
      </c>
      <c r="V21" t="str">
        <f>IF(ISBLANK(LSP_All[[#This Row],[M5+]]),"",ABS(LSP_All[[#This Row],[M5+]]-('statistics-M5'!$J24/365)))</f>
        <v/>
      </c>
      <c r="W21" t="str">
        <f>IF(ISBLANK(LSP_All[[#This Row],[M6+]]),"",ABS(LSP_All[[#This Row],[M6+]]-('statistics-M6'!$J24/365)))</f>
        <v/>
      </c>
      <c r="X21" t="str">
        <f>IF(ISBLANK(LSP_All[[#This Row],[M7+]]),"",ABS(LSP_All[[#This Row],[M7+]]-('statistics-M7'!$J24/365)))</f>
        <v/>
      </c>
      <c r="Y21" t="str">
        <f>IF(ISBLANK(LSP_All[[#This Row],[M8+]]),"",ABS(LSP_All[[#This Row],[M8+]]-('statistics-M8'!$J24/365)))</f>
        <v/>
      </c>
    </row>
    <row r="22" spans="1:25" x14ac:dyDescent="0.35">
      <c r="A22" t="s">
        <v>17</v>
      </c>
      <c r="B22">
        <v>1</v>
      </c>
      <c r="C22">
        <v>1.069</v>
      </c>
      <c r="D22">
        <v>1.069</v>
      </c>
      <c r="E22">
        <v>1.069</v>
      </c>
      <c r="F22">
        <v>2.448</v>
      </c>
      <c r="I22">
        <f>IF(ISBLANK(LSP_All[[#This Row],[M4+]]),"",ABS(LSP_All[[#This Row],[M4+]]-('statistics-M4'!$I26/365)))</f>
        <v>0.22812475866507298</v>
      </c>
      <c r="J22">
        <f>IF(ISBLANK(LSP_All[[#This Row],[M5+]]),"",ABS(LSP_All[[#This Row],[M5+]]-('statistics-M5'!$I26/365)))</f>
        <v>0.22812475866507298</v>
      </c>
      <c r="K22">
        <f>IF(ISBLANK(LSP_All[[#This Row],[M6+]]),"",ABS(LSP_All[[#This Row],[M6+]]-('statistics-M6'!$I26/365)))</f>
        <v>0.20492820028341996</v>
      </c>
      <c r="L22">
        <f>IF(ISBLANK(LSP_All[[#This Row],[M7+]]),"",ABS(LSP_All[[#This Row],[M7+]]-('statistics-M7'!$I26/365)))</f>
        <v>0.18618181818181778</v>
      </c>
      <c r="M22" t="str">
        <f>IF(ISBLANK(LSP_All[[#This Row],[M8+]]),"",ABS(LSP_All[[#This Row],[M8+]]-('statistics-M8'!$I26/365)))</f>
        <v/>
      </c>
      <c r="O22">
        <f>IF(ISBLANK(LSP_All[[#This Row],[M4+]]),"",ABS(LSP_All[[#This Row],[M4+]]-('statistics-M4'!$F26/365)))</f>
        <v>0.55667123287671227</v>
      </c>
      <c r="P22">
        <f>IF(ISBLANK(LSP_All[[#This Row],[M5+]]),"",ABS(LSP_All[[#This Row],[M5+]]-('statistics-M5'!$F26/365)))</f>
        <v>0.55667123287671227</v>
      </c>
      <c r="Q22">
        <f>IF(ISBLANK(LSP_All[[#This Row],[M6+]]),"",ABS(LSP_All[[#This Row],[M6+]]-('statistics-M6'!$F26/365)))</f>
        <v>0.55667123287671227</v>
      </c>
      <c r="R22">
        <f>IF(ISBLANK(LSP_All[[#This Row],[M7+]]),"",ABS(LSP_All[[#This Row],[M7+]]-('statistics-M7'!$F26/365)))</f>
        <v>1.2233424657534246</v>
      </c>
      <c r="S22" t="str">
        <f>IF(ISBLANK(LSP_All[[#This Row],[M8+]]),"",ABS(LSP_All[[#This Row],[M8+]]-('statistics-M8'!$F26/365)))</f>
        <v/>
      </c>
      <c r="U22">
        <f>IF(ISBLANK(LSP_All[[#This Row],[M4+]]),"",ABS(LSP_All[[#This Row],[M4+]]-('statistics-M4'!$J26/365)))</f>
        <v>0.31009589041095886</v>
      </c>
      <c r="V22">
        <f>IF(ISBLANK(LSP_All[[#This Row],[M5+]]),"",ABS(LSP_All[[#This Row],[M5+]]-('statistics-M5'!$J26/365)))</f>
        <v>0.31009589041095886</v>
      </c>
      <c r="W22">
        <f>IF(ISBLANK(LSP_All[[#This Row],[M6+]]),"",ABS(LSP_All[[#This Row],[M6+]]-('statistics-M6'!$J26/365)))</f>
        <v>0.28817808219178076</v>
      </c>
      <c r="X22">
        <f>IF(ISBLANK(LSP_All[[#This Row],[M7+]]),"",ABS(LSP_All[[#This Row],[M7+]]-('statistics-M7'!$J26/365)))</f>
        <v>0.76306849315068481</v>
      </c>
      <c r="Y22" t="str">
        <f>IF(ISBLANK(LSP_All[[#This Row],[M8+]]),"",ABS(LSP_All[[#This Row],[M8+]]-('statistics-M8'!$J26/365)))</f>
        <v/>
      </c>
    </row>
    <row r="23" spans="1:25" x14ac:dyDescent="0.35">
      <c r="A23" t="s">
        <v>17</v>
      </c>
      <c r="B23">
        <v>2</v>
      </c>
      <c r="C23">
        <v>1.75</v>
      </c>
      <c r="D23">
        <v>2.0720000000000001</v>
      </c>
      <c r="E23">
        <v>22.207000000000001</v>
      </c>
      <c r="I23">
        <f>IF(ISBLANK(LSP_All[[#This Row],[M4+]]),"",ABS(LSP_All[[#This Row],[M4+]]-('statistics-M4'!$I27/365)))</f>
        <v>9.1672674837779411E-2</v>
      </c>
      <c r="J23">
        <f>IF(ISBLANK(LSP_All[[#This Row],[M5+]]),"",ABS(LSP_All[[#This Row],[M5+]]-('statistics-M5'!$I27/365)))</f>
        <v>0.13303266596417274</v>
      </c>
      <c r="K23">
        <f>IF(ISBLANK(LSP_All[[#This Row],[M6+]]),"",ABS(LSP_All[[#This Row],[M6+]]-('statistics-M6'!$I27/365)))</f>
        <v>11.822981735159818</v>
      </c>
      <c r="L23" t="str">
        <f>IF(ISBLANK(LSP_All[[#This Row],[M7+]]),"",ABS(LSP_All[[#This Row],[M7+]]-('statistics-M7'!$I27/365)))</f>
        <v/>
      </c>
      <c r="M23" t="str">
        <f>IF(ISBLANK(LSP_All[[#This Row],[M8+]]),"",ABS(LSP_All[[#This Row],[M8+]]-('statistics-M8'!$I27/365)))</f>
        <v/>
      </c>
      <c r="O23">
        <f>IF(ISBLANK(LSP_All[[#This Row],[M4+]]),"",ABS(LSP_All[[#This Row],[M4+]]-('statistics-M4'!$F27/365)))</f>
        <v>1.0513698630136985</v>
      </c>
      <c r="P23">
        <f>IF(ISBLANK(LSP_All[[#This Row],[M5+]]),"",ABS(LSP_All[[#This Row],[M5+]]-('statistics-M5'!$F27/365)))</f>
        <v>1.5596712328767124</v>
      </c>
      <c r="Q23">
        <f>IF(ISBLANK(LSP_All[[#This Row],[M6+]]),"",ABS(LSP_All[[#This Row],[M6+]]-('statistics-M6'!$F27/365)))</f>
        <v>20.483712328767123</v>
      </c>
      <c r="R23" t="str">
        <f>IF(ISBLANK(LSP_All[[#This Row],[M7+]]),"",ABS(LSP_All[[#This Row],[M7+]]-('statistics-M7'!$F27/365)))</f>
        <v/>
      </c>
      <c r="S23" t="str">
        <f>IF(ISBLANK(LSP_All[[#This Row],[M8+]]),"",ABS(LSP_All[[#This Row],[M8+]]-('statistics-M8'!$F27/365)))</f>
        <v/>
      </c>
      <c r="U23">
        <f>IF(ISBLANK(LSP_All[[#This Row],[M4+]]),"",ABS(LSP_All[[#This Row],[M4+]]-('statistics-M4'!$J27/365)))</f>
        <v>1.0472602739726027</v>
      </c>
      <c r="V23">
        <f>IF(ISBLANK(LSP_All[[#This Row],[M5+]]),"",ABS(LSP_All[[#This Row],[M5+]]-('statistics-M5'!$J27/365)))</f>
        <v>1.2692602739726029</v>
      </c>
      <c r="W23">
        <f>IF(ISBLANK(LSP_All[[#This Row],[M6+]]),"",ABS(LSP_All[[#This Row],[M6+]]-('statistics-M6'!$J27/365)))</f>
        <v>16.397410958904111</v>
      </c>
      <c r="X23" t="str">
        <f>IF(ISBLANK(LSP_All[[#This Row],[M7+]]),"",ABS(LSP_All[[#This Row],[M7+]]-('statistics-M7'!$J27/365)))</f>
        <v/>
      </c>
      <c r="Y23" t="str">
        <f>IF(ISBLANK(LSP_All[[#This Row],[M8+]]),"",ABS(LSP_All[[#This Row],[M8+]]-('statistics-M8'!$J27/365)))</f>
        <v/>
      </c>
    </row>
    <row r="24" spans="1:25" x14ac:dyDescent="0.35">
      <c r="A24" t="s">
        <v>17</v>
      </c>
      <c r="B24">
        <v>3</v>
      </c>
      <c r="C24">
        <v>2.1349999999999998</v>
      </c>
      <c r="D24">
        <v>3.5169999999999999</v>
      </c>
      <c r="I24">
        <f>IF(ISBLANK(LSP_All[[#This Row],[M4+]]),"",ABS(LSP_All[[#This Row],[M4+]]-('statistics-M4'!$I28/365)))</f>
        <v>0.1738502133393216</v>
      </c>
      <c r="J24">
        <f>IF(ISBLANK(LSP_All[[#This Row],[M5+]]),"",ABS(LSP_All[[#This Row],[M5+]]-('statistics-M5'!$I28/365)))</f>
        <v>0.28375305442428678</v>
      </c>
      <c r="K24" t="str">
        <f>IF(ISBLANK(LSP_All[[#This Row],[M6+]]),"",ABS(LSP_All[[#This Row],[M6+]]-('statistics-M6'!$I28/365)))</f>
        <v/>
      </c>
      <c r="L24" t="str">
        <f>IF(ISBLANK(LSP_All[[#This Row],[M7+]]),"",ABS(LSP_All[[#This Row],[M7+]]-('statistics-M7'!$I28/365)))</f>
        <v/>
      </c>
      <c r="M24" t="str">
        <f>IF(ISBLANK(LSP_All[[#This Row],[M8+]]),"",ABS(LSP_All[[#This Row],[M8+]]-('statistics-M8'!$I28/365)))</f>
        <v/>
      </c>
      <c r="O24">
        <f>IF(ISBLANK(LSP_All[[#This Row],[M4+]]),"",ABS(LSP_All[[#This Row],[M4+]]-('statistics-M4'!$F28/365)))</f>
        <v>0.86376712328767091</v>
      </c>
      <c r="P24">
        <f>IF(ISBLANK(LSP_All[[#This Row],[M5+]]),"",ABS(LSP_All[[#This Row],[M5+]]-('statistics-M5'!$F28/365)))</f>
        <v>2.9909726027397259</v>
      </c>
      <c r="Q24" t="str">
        <f>IF(ISBLANK(LSP_All[[#This Row],[M6+]]),"",ABS(LSP_All[[#This Row],[M6+]]-('statistics-M6'!$F28/365)))</f>
        <v/>
      </c>
      <c r="R24" t="str">
        <f>IF(ISBLANK(LSP_All[[#This Row],[M7+]]),"",ABS(LSP_All[[#This Row],[M7+]]-('statistics-M7'!$F28/365)))</f>
        <v/>
      </c>
      <c r="S24" t="str">
        <f>IF(ISBLANK(LSP_All[[#This Row],[M8+]]),"",ABS(LSP_All[[#This Row],[M8+]]-('statistics-M8'!$F28/365)))</f>
        <v/>
      </c>
      <c r="U24">
        <f>IF(ISBLANK(LSP_All[[#This Row],[M4+]]),"",ABS(LSP_All[[#This Row],[M4+]]-('statistics-M4'!$J28/365)))</f>
        <v>1.2034931506849313</v>
      </c>
      <c r="V24">
        <f>IF(ISBLANK(LSP_All[[#This Row],[M5+]]),"",ABS(LSP_All[[#This Row],[M5+]]-('statistics-M5'!$J28/365)))</f>
        <v>2.245767123287671</v>
      </c>
      <c r="W24" t="str">
        <f>IF(ISBLANK(LSP_All[[#This Row],[M6+]]),"",ABS(LSP_All[[#This Row],[M6+]]-('statistics-M6'!$J28/365)))</f>
        <v/>
      </c>
      <c r="X24" t="str">
        <f>IF(ISBLANK(LSP_All[[#This Row],[M7+]]),"",ABS(LSP_All[[#This Row],[M7+]]-('statistics-M7'!$J28/365)))</f>
        <v/>
      </c>
      <c r="Y24" t="str">
        <f>IF(ISBLANK(LSP_All[[#This Row],[M8+]]),"",ABS(LSP_All[[#This Row],[M8+]]-('statistics-M8'!$J28/365)))</f>
        <v/>
      </c>
    </row>
    <row r="25" spans="1:25" x14ac:dyDescent="0.35">
      <c r="A25" t="s">
        <v>18</v>
      </c>
      <c r="B25">
        <v>1</v>
      </c>
      <c r="C25">
        <v>2.6579999999999999</v>
      </c>
      <c r="D25">
        <v>2.6579999999999999</v>
      </c>
      <c r="E25">
        <v>3.0059999999999998</v>
      </c>
      <c r="I25">
        <f>IF(ISBLANK(LSP_All[[#This Row],[M4+]]),"",ABS(LSP_All[[#This Row],[M4+]]-('statistics-M4'!$I29/365)))</f>
        <v>1.4365162077851619</v>
      </c>
      <c r="J25">
        <f>IF(ISBLANK(LSP_All[[#This Row],[M5+]]),"",ABS(LSP_All[[#This Row],[M5+]]-('statistics-M5'!$I29/365)))</f>
        <v>1.4365162077851619</v>
      </c>
      <c r="K25">
        <f>IF(ISBLANK(LSP_All[[#This Row],[M6+]]),"",ABS(LSP_All[[#This Row],[M6+]]-('statistics-M6'!$I29/365)))</f>
        <v>0.18038674737177463</v>
      </c>
      <c r="L25" t="str">
        <f>IF(ISBLANK(LSP_All[[#This Row],[M7+]]),"",ABS(LSP_All[[#This Row],[M7+]]-('statistics-M7'!$I29/365)))</f>
        <v/>
      </c>
      <c r="M25" t="str">
        <f>IF(ISBLANK(LSP_All[[#This Row],[M8+]]),"",ABS(LSP_All[[#This Row],[M8+]]-('statistics-M8'!$I29/365)))</f>
        <v/>
      </c>
      <c r="O25">
        <f>IF(ISBLANK(LSP_All[[#This Row],[M4+]]),"",ABS(LSP_All[[#This Row],[M4+]]-('statistics-M4'!$F29/365)))</f>
        <v>2.1292328767123285</v>
      </c>
      <c r="P25">
        <f>IF(ISBLANK(LSP_All[[#This Row],[M5+]]),"",ABS(LSP_All[[#This Row],[M5+]]-('statistics-M5'!$F29/365)))</f>
        <v>2.1292328767123285</v>
      </c>
      <c r="Q25">
        <f>IF(ISBLANK(LSP_All[[#This Row],[M6+]]),"",ABS(LSP_All[[#This Row],[M6+]]-('statistics-M6'!$F29/365)))</f>
        <v>1.5830410958904113</v>
      </c>
      <c r="R25" t="str">
        <f>IF(ISBLANK(LSP_All[[#This Row],[M7+]]),"",ABS(LSP_All[[#This Row],[M7+]]-('statistics-M7'!$F29/365)))</f>
        <v/>
      </c>
      <c r="S25" t="str">
        <f>IF(ISBLANK(LSP_All[[#This Row],[M8+]]),"",ABS(LSP_All[[#This Row],[M8+]]-('statistics-M8'!$F29/365)))</f>
        <v/>
      </c>
      <c r="U25">
        <f>IF(ISBLANK(LSP_All[[#This Row],[M4+]]),"",ABS(LSP_All[[#This Row],[M4+]]-('statistics-M4'!$J29/365)))</f>
        <v>1.7730684931506848</v>
      </c>
      <c r="V25">
        <f>IF(ISBLANK(LSP_All[[#This Row],[M5+]]),"",ABS(LSP_All[[#This Row],[M5+]]-('statistics-M5'!$J29/365)))</f>
        <v>1.7730684931506848</v>
      </c>
      <c r="W25">
        <f>IF(ISBLANK(LSP_All[[#This Row],[M6+]]),"",ABS(LSP_All[[#This Row],[M6+]]-('statistics-M6'!$J29/365)))</f>
        <v>1.2388767123287669</v>
      </c>
      <c r="X25" t="str">
        <f>IF(ISBLANK(LSP_All[[#This Row],[M7+]]),"",ABS(LSP_All[[#This Row],[M7+]]-('statistics-M7'!$J29/365)))</f>
        <v/>
      </c>
      <c r="Y25" t="str">
        <f>IF(ISBLANK(LSP_All[[#This Row],[M8+]]),"",ABS(LSP_All[[#This Row],[M8+]]-('statistics-M8'!$J29/365)))</f>
        <v/>
      </c>
    </row>
    <row r="26" spans="1:25" x14ac:dyDescent="0.35">
      <c r="A26" t="s">
        <v>18</v>
      </c>
      <c r="B26">
        <v>2</v>
      </c>
      <c r="C26">
        <v>2.3889999999999998</v>
      </c>
      <c r="D26">
        <v>1.8660000000000001</v>
      </c>
      <c r="E26">
        <v>9.0570000000000004</v>
      </c>
      <c r="I26">
        <f>IF(ISBLANK(LSP_All[[#This Row],[M4+]]),"",ABS(LSP_All[[#This Row],[M4+]]-('statistics-M4'!$I30/365)))</f>
        <v>0.89577425408144085</v>
      </c>
      <c r="J26">
        <f>IF(ISBLANK(LSP_All[[#This Row],[M5+]]),"",ABS(LSP_All[[#This Row],[M5+]]-('statistics-M5'!$I30/365)))</f>
        <v>0.23905254549171961</v>
      </c>
      <c r="K26">
        <f>IF(ISBLANK(LSP_All[[#This Row],[M6+]]),"",ABS(LSP_All[[#This Row],[M6+]]-('statistics-M6'!$I30/365)))</f>
        <v>1.5446712328767127</v>
      </c>
      <c r="L26" t="str">
        <f>IF(ISBLANK(LSP_All[[#This Row],[M7+]]),"",ABS(LSP_All[[#This Row],[M7+]]-('statistics-M7'!$I30/365)))</f>
        <v/>
      </c>
      <c r="M26" t="str">
        <f>IF(ISBLANK(LSP_All[[#This Row],[M8+]]),"",ABS(LSP_All[[#This Row],[M8+]]-('statistics-M8'!$I30/365)))</f>
        <v/>
      </c>
      <c r="O26">
        <f>IF(ISBLANK(LSP_All[[#This Row],[M4+]]),"",ABS(LSP_All[[#This Row],[M4+]]-('statistics-M4'!$F30/365)))</f>
        <v>1.7561232876712327</v>
      </c>
      <c r="P26">
        <f>IF(ISBLANK(LSP_All[[#This Row],[M5+]]),"",ABS(LSP_All[[#This Row],[M5+]]-('statistics-M5'!$F30/365)))</f>
        <v>1.233123287671233</v>
      </c>
      <c r="Q26">
        <f>IF(ISBLANK(LSP_All[[#This Row],[M6+]]),"",ABS(LSP_All[[#This Row],[M6+]]-('statistics-M6'!$F30/365)))</f>
        <v>8.3720684931506852</v>
      </c>
      <c r="R26" t="str">
        <f>IF(ISBLANK(LSP_All[[#This Row],[M7+]]),"",ABS(LSP_All[[#This Row],[M7+]]-('statistics-M7'!$F30/365)))</f>
        <v/>
      </c>
      <c r="S26" t="str">
        <f>IF(ISBLANK(LSP_All[[#This Row],[M8+]]),"",ABS(LSP_All[[#This Row],[M8+]]-('statistics-M8'!$F30/365)))</f>
        <v/>
      </c>
      <c r="U26">
        <f>IF(ISBLANK(LSP_All[[#This Row],[M4+]]),"",ABS(LSP_All[[#This Row],[M4+]]-('statistics-M4'!$J30/365)))</f>
        <v>1.4958493150684928</v>
      </c>
      <c r="V26">
        <f>IF(ISBLANK(LSP_All[[#This Row],[M5+]]),"",ABS(LSP_All[[#This Row],[M5+]]-('statistics-M5'!$J30/365)))</f>
        <v>0.90161643835616445</v>
      </c>
      <c r="W26">
        <f>IF(ISBLANK(LSP_All[[#This Row],[M6+]]),"",ABS(LSP_All[[#This Row],[M6+]]-('statistics-M6'!$J30/365)))</f>
        <v>4.5953561643835616</v>
      </c>
      <c r="X26" t="str">
        <f>IF(ISBLANK(LSP_All[[#This Row],[M7+]]),"",ABS(LSP_All[[#This Row],[M7+]]-('statistics-M7'!$J30/365)))</f>
        <v/>
      </c>
      <c r="Y26" t="str">
        <f>IF(ISBLANK(LSP_All[[#This Row],[M8+]]),"",ABS(LSP_All[[#This Row],[M8+]]-('statistics-M8'!$J30/365)))</f>
        <v/>
      </c>
    </row>
    <row r="27" spans="1:25" x14ac:dyDescent="0.35">
      <c r="A27" t="s">
        <v>18</v>
      </c>
      <c r="B27">
        <v>3</v>
      </c>
      <c r="C27">
        <v>2.3410000000000002</v>
      </c>
      <c r="D27">
        <v>1.8320000000000001</v>
      </c>
      <c r="E27">
        <v>8.9019999999999992</v>
      </c>
      <c r="I27">
        <f>IF(ISBLANK(LSP_All[[#This Row],[M4+]]),"",ABS(LSP_All[[#This Row],[M4+]]-('statistics-M4'!$I31/365)))</f>
        <v>0.93559665144596682</v>
      </c>
      <c r="J27">
        <f>IF(ISBLANK(LSP_All[[#This Row],[M5+]]),"",ABS(LSP_All[[#This Row],[M5+]]-('statistics-M5'!$I31/365)))</f>
        <v>0.17316326072310817</v>
      </c>
      <c r="K27">
        <f>IF(ISBLANK(LSP_All[[#This Row],[M6+]]),"",ABS(LSP_All[[#This Row],[M6+]]-('statistics-M6'!$I31/365)))</f>
        <v>2.4855616438356156</v>
      </c>
      <c r="L27" t="str">
        <f>IF(ISBLANK(LSP_All[[#This Row],[M7+]]),"",ABS(LSP_All[[#This Row],[M7+]]-('statistics-M7'!$I31/365)))</f>
        <v/>
      </c>
      <c r="M27" t="str">
        <f>IF(ISBLANK(LSP_All[[#This Row],[M8+]]),"",ABS(LSP_All[[#This Row],[M8+]]-('statistics-M8'!$I31/365)))</f>
        <v/>
      </c>
      <c r="O27">
        <f>IF(ISBLANK(LSP_All[[#This Row],[M4+]]),"",ABS(LSP_All[[#This Row],[M4+]]-('statistics-M4'!$F31/365)))</f>
        <v>1.845109589041096</v>
      </c>
      <c r="P27">
        <f>IF(ISBLANK(LSP_All[[#This Row],[M5+]]),"",ABS(LSP_All[[#This Row],[M5+]]-('statistics-M5'!$F31/365)))</f>
        <v>1.3361095890410959</v>
      </c>
      <c r="Q27">
        <f>IF(ISBLANK(LSP_All[[#This Row],[M6+]]),"",ABS(LSP_All[[#This Row],[M6+]]-('statistics-M6'!$F31/365)))</f>
        <v>8.3595342465753415</v>
      </c>
      <c r="R27" t="str">
        <f>IF(ISBLANK(LSP_All[[#This Row],[M7+]]),"",ABS(LSP_All[[#This Row],[M7+]]-('statistics-M7'!$F31/365)))</f>
        <v/>
      </c>
      <c r="S27" t="str">
        <f>IF(ISBLANK(LSP_All[[#This Row],[M8+]]),"",ABS(LSP_All[[#This Row],[M8+]]-('statistics-M8'!$F31/365)))</f>
        <v/>
      </c>
      <c r="U27">
        <f>IF(ISBLANK(LSP_All[[#This Row],[M4+]]),"",ABS(LSP_All[[#This Row],[M4+]]-('statistics-M4'!$J31/365)))</f>
        <v>1.3752465753424659</v>
      </c>
      <c r="V27">
        <f>IF(ISBLANK(LSP_All[[#This Row],[M5+]]),"",ABS(LSP_All[[#This Row],[M5+]]-('statistics-M5'!$J31/365)))</f>
        <v>0.79090410958904123</v>
      </c>
      <c r="W27">
        <f>IF(ISBLANK(LSP_All[[#This Row],[M6+]]),"",ABS(LSP_All[[#This Row],[M6+]]-('statistics-M6'!$J31/365)))</f>
        <v>3.9540547945205473</v>
      </c>
      <c r="X27" t="str">
        <f>IF(ISBLANK(LSP_All[[#This Row],[M7+]]),"",ABS(LSP_All[[#This Row],[M7+]]-('statistics-M7'!$J31/365)))</f>
        <v/>
      </c>
      <c r="Y27" t="str">
        <f>IF(ISBLANK(LSP_All[[#This Row],[M8+]]),"",ABS(LSP_All[[#This Row],[M8+]]-('statistics-M8'!$J31/365)))</f>
        <v/>
      </c>
    </row>
    <row r="28" spans="1:25" x14ac:dyDescent="0.35">
      <c r="A28" t="s">
        <v>19</v>
      </c>
      <c r="B28">
        <v>1</v>
      </c>
      <c r="C28">
        <v>1.224</v>
      </c>
      <c r="D28">
        <v>1.224</v>
      </c>
      <c r="E28">
        <v>3.4249999999999998</v>
      </c>
      <c r="I28">
        <f>IF(ISBLANK(LSP_All[[#This Row],[M4+]]),"",ABS(LSP_All[[#This Row],[M4+]]-('statistics-M4'!$I32/365)))</f>
        <v>3.5854062118540586E-2</v>
      </c>
      <c r="J28">
        <f>IF(ISBLANK(LSP_All[[#This Row],[M5+]]),"",ABS(LSP_All[[#This Row],[M5+]]-('statistics-M5'!$I32/365)))</f>
        <v>3.5854062118540586E-2</v>
      </c>
      <c r="K28">
        <f>IF(ISBLANK(LSP_All[[#This Row],[M6+]]),"",ABS(LSP_All[[#This Row],[M6+]]-('statistics-M6'!$I32/365)))</f>
        <v>0.75042599398596721</v>
      </c>
      <c r="L28" t="str">
        <f>IF(ISBLANK(LSP_All[[#This Row],[M7+]]),"",ABS(LSP_All[[#This Row],[M7+]]-('statistics-M7'!$I32/365)))</f>
        <v/>
      </c>
      <c r="M28" t="str">
        <f>IF(ISBLANK(LSP_All[[#This Row],[M8+]]),"",ABS(LSP_All[[#This Row],[M8+]]-('statistics-M8'!$I32/365)))</f>
        <v/>
      </c>
      <c r="O28">
        <f>IF(ISBLANK(LSP_All[[#This Row],[M4+]]),"",ABS(LSP_All[[#This Row],[M4+]]-('statistics-M4'!$F32/365)))</f>
        <v>0.69249315068493145</v>
      </c>
      <c r="P28">
        <f>IF(ISBLANK(LSP_All[[#This Row],[M5+]]),"",ABS(LSP_All[[#This Row],[M5+]]-('statistics-M5'!$F32/365)))</f>
        <v>0.69249315068493145</v>
      </c>
      <c r="Q28">
        <f>IF(ISBLANK(LSP_All[[#This Row],[M6+]]),"",ABS(LSP_All[[#This Row],[M6+]]-('statistics-M6'!$F32/365)))</f>
        <v>2.8934931506849315</v>
      </c>
      <c r="R28" t="str">
        <f>IF(ISBLANK(LSP_All[[#This Row],[M7+]]),"",ABS(LSP_All[[#This Row],[M7+]]-('statistics-M7'!$F32/365)))</f>
        <v/>
      </c>
      <c r="S28" t="str">
        <f>IF(ISBLANK(LSP_All[[#This Row],[M8+]]),"",ABS(LSP_All[[#This Row],[M8+]]-('statistics-M8'!$F32/365)))</f>
        <v/>
      </c>
      <c r="U28">
        <f>IF(ISBLANK(LSP_All[[#This Row],[M4+]]),"",ABS(LSP_All[[#This Row],[M4+]]-('statistics-M4'!$J32/365)))</f>
        <v>0.32810958904109588</v>
      </c>
      <c r="V28">
        <f>IF(ISBLANK(LSP_All[[#This Row],[M5+]]),"",ABS(LSP_All[[#This Row],[M5+]]-('statistics-M5'!$J32/365)))</f>
        <v>0.32810958904109588</v>
      </c>
      <c r="W28">
        <f>IF(ISBLANK(LSP_All[[#This Row],[M6+]]),"",ABS(LSP_All[[#This Row],[M6+]]-('statistics-M6'!$J32/365)))</f>
        <v>1.5921232876712328</v>
      </c>
      <c r="X28" t="str">
        <f>IF(ISBLANK(LSP_All[[#This Row],[M7+]]),"",ABS(LSP_All[[#This Row],[M7+]]-('statistics-M7'!$J32/365)))</f>
        <v/>
      </c>
      <c r="Y28" t="str">
        <f>IF(ISBLANK(LSP_All[[#This Row],[M8+]]),"",ABS(LSP_All[[#This Row],[M8+]]-('statistics-M8'!$J32/365)))</f>
        <v/>
      </c>
    </row>
    <row r="29" spans="1:25" x14ac:dyDescent="0.35">
      <c r="A29" t="s">
        <v>19</v>
      </c>
      <c r="B29">
        <v>2</v>
      </c>
      <c r="C29">
        <v>1.6830000000000001</v>
      </c>
      <c r="D29">
        <v>1.7929999999999999</v>
      </c>
      <c r="E29">
        <v>5.9720000000000004</v>
      </c>
      <c r="I29">
        <f>IF(ISBLANK(LSP_All[[#This Row],[M4+]]),"",ABS(LSP_All[[#This Row],[M4+]]-('statistics-M4'!$I33/365)))</f>
        <v>0.54129093281148077</v>
      </c>
      <c r="J29">
        <f>IF(ISBLANK(LSP_All[[#This Row],[M5+]]),"",ABS(LSP_All[[#This Row],[M5+]]-('statistics-M5'!$I33/365)))</f>
        <v>0.62515149073327958</v>
      </c>
      <c r="K29">
        <f>IF(ISBLANK(LSP_All[[#This Row],[M6+]]),"",ABS(LSP_All[[#This Row],[M6+]]-('statistics-M6'!$I33/365)))</f>
        <v>2.3864691780821921</v>
      </c>
      <c r="L29" t="str">
        <f>IF(ISBLANK(LSP_All[[#This Row],[M7+]]),"",ABS(LSP_All[[#This Row],[M7+]]-('statistics-M7'!$I33/365)))</f>
        <v/>
      </c>
      <c r="M29" t="str">
        <f>IF(ISBLANK(LSP_All[[#This Row],[M8+]]),"",ABS(LSP_All[[#This Row],[M8+]]-('statistics-M8'!$I33/365)))</f>
        <v/>
      </c>
      <c r="O29">
        <f>IF(ISBLANK(LSP_All[[#This Row],[M4+]]),"",ABS(LSP_All[[#This Row],[M4+]]-('statistics-M4'!$F33/365)))</f>
        <v>1.1651917808219179</v>
      </c>
      <c r="P29">
        <f>IF(ISBLANK(LSP_All[[#This Row],[M5+]]),"",ABS(LSP_All[[#This Row],[M5+]]-('statistics-M5'!$F33/365)))</f>
        <v>1.2751917808219178</v>
      </c>
      <c r="Q29">
        <f>IF(ISBLANK(LSP_All[[#This Row],[M6+]]),"",ABS(LSP_All[[#This Row],[M6+]]-('statistics-M6'!$F33/365)))</f>
        <v>5.43227397260274</v>
      </c>
      <c r="R29" t="str">
        <f>IF(ISBLANK(LSP_All[[#This Row],[M7+]]),"",ABS(LSP_All[[#This Row],[M7+]]-('statistics-M7'!$F33/365)))</f>
        <v/>
      </c>
      <c r="S29" t="str">
        <f>IF(ISBLANK(LSP_All[[#This Row],[M8+]]),"",ABS(LSP_All[[#This Row],[M8+]]-('statistics-M8'!$F33/365)))</f>
        <v/>
      </c>
      <c r="U29">
        <f>IF(ISBLANK(LSP_All[[#This Row],[M4+]]),"",ABS(LSP_All[[#This Row],[M4+]]-('statistics-M4'!$J33/365)))</f>
        <v>0.83094520547945205</v>
      </c>
      <c r="V29">
        <f>IF(ISBLANK(LSP_All[[#This Row],[M5+]]),"",ABS(LSP_All[[#This Row],[M5+]]-('statistics-M5'!$J33/365)))</f>
        <v>0.92039726027397251</v>
      </c>
      <c r="W29">
        <f>IF(ISBLANK(LSP_All[[#This Row],[M6+]]),"",ABS(LSP_All[[#This Row],[M6+]]-('statistics-M6'!$J33/365)))</f>
        <v>3.5089863013698634</v>
      </c>
      <c r="X29" t="str">
        <f>IF(ISBLANK(LSP_All[[#This Row],[M7+]]),"",ABS(LSP_All[[#This Row],[M7+]]-('statistics-M7'!$J33/365)))</f>
        <v/>
      </c>
      <c r="Y29" t="str">
        <f>IF(ISBLANK(LSP_All[[#This Row],[M8+]]),"",ABS(LSP_All[[#This Row],[M8+]]-('statistics-M8'!$J33/365)))</f>
        <v/>
      </c>
    </row>
    <row r="30" spans="1:25" x14ac:dyDescent="0.35">
      <c r="A30" t="s">
        <v>19</v>
      </c>
      <c r="B30">
        <v>3</v>
      </c>
      <c r="C30">
        <v>1.804</v>
      </c>
      <c r="D30">
        <v>1.6739999999999999</v>
      </c>
      <c r="I30">
        <f>IF(ISBLANK(LSP_All[[#This Row],[M4+]]),"",ABS(LSP_All[[#This Row],[M4+]]-('statistics-M4'!$I34/365)))</f>
        <v>0.34313186994553568</v>
      </c>
      <c r="J30">
        <f>IF(ISBLANK(LSP_All[[#This Row],[M5+]]),"",ABS(LSP_All[[#This Row],[M5+]]-('statistics-M5'!$I34/365)))</f>
        <v>9.9297989681551346E-2</v>
      </c>
      <c r="K30" t="str">
        <f>IF(ISBLANK(LSP_All[[#This Row],[M6+]]),"",ABS(LSP_All[[#This Row],[M6+]]-('statistics-M6'!$I34/365)))</f>
        <v/>
      </c>
      <c r="L30" t="str">
        <f>IF(ISBLANK(LSP_All[[#This Row],[M7+]]),"",ABS(LSP_All[[#This Row],[M7+]]-('statistics-M7'!$I34/365)))</f>
        <v/>
      </c>
      <c r="M30" t="str">
        <f>IF(ISBLANK(LSP_All[[#This Row],[M8+]]),"",ABS(LSP_All[[#This Row],[M8+]]-('statistics-M8'!$I34/365)))</f>
        <v/>
      </c>
      <c r="O30">
        <f>IF(ISBLANK(LSP_All[[#This Row],[M4+]]),"",ABS(LSP_All[[#This Row],[M4+]]-('statistics-M4'!$F34/365)))</f>
        <v>1.2423561643835617</v>
      </c>
      <c r="P30">
        <f>IF(ISBLANK(LSP_All[[#This Row],[M5+]]),"",ABS(LSP_All[[#This Row],[M5+]]-('statistics-M5'!$F34/365)))</f>
        <v>1.1123561643835616</v>
      </c>
      <c r="Q30" t="str">
        <f>IF(ISBLANK(LSP_All[[#This Row],[M6+]]),"",ABS(LSP_All[[#This Row],[M6+]]-('statistics-M6'!$F34/365)))</f>
        <v/>
      </c>
      <c r="R30" t="str">
        <f>IF(ISBLANK(LSP_All[[#This Row],[M7+]]),"",ABS(LSP_All[[#This Row],[M7+]]-('statistics-M7'!$F34/365)))</f>
        <v/>
      </c>
      <c r="S30" t="str">
        <f>IF(ISBLANK(LSP_All[[#This Row],[M8+]]),"",ABS(LSP_All[[#This Row],[M8+]]-('statistics-M8'!$F34/365)))</f>
        <v/>
      </c>
      <c r="U30">
        <f>IF(ISBLANK(LSP_All[[#This Row],[M4+]]),"",ABS(LSP_All[[#This Row],[M4+]]-('statistics-M4'!$J34/365)))</f>
        <v>0.92454794520547945</v>
      </c>
      <c r="V30">
        <f>IF(ISBLANK(LSP_All[[#This Row],[M5+]]),"",ABS(LSP_All[[#This Row],[M5+]]-('statistics-M5'!$J34/365)))</f>
        <v>0.73153424657534238</v>
      </c>
      <c r="W30" t="str">
        <f>IF(ISBLANK(LSP_All[[#This Row],[M6+]]),"",ABS(LSP_All[[#This Row],[M6+]]-('statistics-M6'!$J34/365)))</f>
        <v/>
      </c>
      <c r="X30" t="str">
        <f>IF(ISBLANK(LSP_All[[#This Row],[M7+]]),"",ABS(LSP_All[[#This Row],[M7+]]-('statistics-M7'!$J34/365)))</f>
        <v/>
      </c>
      <c r="Y30" t="str">
        <f>IF(ISBLANK(LSP_All[[#This Row],[M8+]]),"",ABS(LSP_All[[#This Row],[M8+]]-('statistics-M8'!$J34/365)))</f>
        <v/>
      </c>
    </row>
    <row r="31" spans="1:25" x14ac:dyDescent="0.35">
      <c r="A31" t="s">
        <v>20</v>
      </c>
      <c r="B31">
        <v>1</v>
      </c>
      <c r="C31">
        <v>1.585</v>
      </c>
      <c r="D31">
        <v>1.585</v>
      </c>
      <c r="E31">
        <v>4.1959999999999997</v>
      </c>
      <c r="I31">
        <f>IF(ISBLANK(LSP_All[[#This Row],[M4+]]),"",ABS(LSP_All[[#This Row],[M4+]]-('statistics-M4'!$I35/365)))</f>
        <v>0.5225390531122327</v>
      </c>
      <c r="J31">
        <f>IF(ISBLANK(LSP_All[[#This Row],[M5+]]),"",ABS(LSP_All[[#This Row],[M5+]]-('statistics-M5'!$I35/365)))</f>
        <v>0.5225390531122327</v>
      </c>
      <c r="K31">
        <f>IF(ISBLANK(LSP_All[[#This Row],[M6+]]),"",ABS(LSP_All[[#This Row],[M6+]]-('statistics-M6'!$I35/365)))</f>
        <v>1.1024888248017302</v>
      </c>
      <c r="L31" t="str">
        <f>IF(ISBLANK(LSP_All[[#This Row],[M7+]]),"",ABS(LSP_All[[#This Row],[M7+]]-('statistics-M7'!$I35/365)))</f>
        <v/>
      </c>
      <c r="M31" t="str">
        <f>IF(ISBLANK(LSP_All[[#This Row],[M8+]]),"",ABS(LSP_All[[#This Row],[M8+]]-('statistics-M8'!$I35/365)))</f>
        <v/>
      </c>
      <c r="O31">
        <f>IF(ISBLANK(LSP_All[[#This Row],[M4+]]),"",ABS(LSP_All[[#This Row],[M4+]]-('statistics-M4'!$F35/365)))</f>
        <v>0.91102739726027393</v>
      </c>
      <c r="P31">
        <f>IF(ISBLANK(LSP_All[[#This Row],[M5+]]),"",ABS(LSP_All[[#This Row],[M5+]]-('statistics-M5'!$F35/365)))</f>
        <v>0.91102739726027393</v>
      </c>
      <c r="Q31">
        <f>IF(ISBLANK(LSP_All[[#This Row],[M6+]]),"",ABS(LSP_All[[#This Row],[M6+]]-('statistics-M6'!$F35/365)))</f>
        <v>3.5220273972602736</v>
      </c>
      <c r="R31" t="str">
        <f>IF(ISBLANK(LSP_All[[#This Row],[M7+]]),"",ABS(LSP_All[[#This Row],[M7+]]-('statistics-M7'!$F35/365)))</f>
        <v/>
      </c>
      <c r="S31" t="str">
        <f>IF(ISBLANK(LSP_All[[#This Row],[M8+]]),"",ABS(LSP_All[[#This Row],[M8+]]-('statistics-M8'!$F35/365)))</f>
        <v/>
      </c>
      <c r="U31">
        <f>IF(ISBLANK(LSP_All[[#This Row],[M4+]]),"",ABS(LSP_All[[#This Row],[M4+]]-('statistics-M4'!$J35/365)))</f>
        <v>0.75486301369863007</v>
      </c>
      <c r="V31">
        <f>IF(ISBLANK(LSP_All[[#This Row],[M5+]]),"",ABS(LSP_All[[#This Row],[M5+]]-('statistics-M5'!$J35/365)))</f>
        <v>0.75486301369863007</v>
      </c>
      <c r="W31">
        <f>IF(ISBLANK(LSP_All[[#This Row],[M6+]]),"",ABS(LSP_All[[#This Row],[M6+]]-('statistics-M6'!$J35/365)))</f>
        <v>1.8521643835616435</v>
      </c>
      <c r="X31" t="str">
        <f>IF(ISBLANK(LSP_All[[#This Row],[M7+]]),"",ABS(LSP_All[[#This Row],[M7+]]-('statistics-M7'!$J35/365)))</f>
        <v/>
      </c>
      <c r="Y31" t="str">
        <f>IF(ISBLANK(LSP_All[[#This Row],[M8+]]),"",ABS(LSP_All[[#This Row],[M8+]]-('statistics-M8'!$J35/365)))</f>
        <v/>
      </c>
    </row>
    <row r="32" spans="1:25" x14ac:dyDescent="0.35">
      <c r="A32" t="s">
        <v>20</v>
      </c>
      <c r="B32">
        <v>2</v>
      </c>
      <c r="C32">
        <v>1.9450000000000001</v>
      </c>
      <c r="D32">
        <v>1.944</v>
      </c>
      <c r="I32">
        <f>IF(ISBLANK(LSP_All[[#This Row],[M4+]]),"",ABS(LSP_All[[#This Row],[M4+]]-('statistics-M4'!$I36/365)))</f>
        <v>0.53771908425595805</v>
      </c>
      <c r="J32">
        <f>IF(ISBLANK(LSP_All[[#This Row],[M5+]]),"",ABS(LSP_All[[#This Row],[M5+]]-('statistics-M5'!$I36/365)))</f>
        <v>9.1148194271482019E-2</v>
      </c>
      <c r="K32" t="str">
        <f>IF(ISBLANK(LSP_All[[#This Row],[M6+]]),"",ABS(LSP_All[[#This Row],[M6+]]-('statistics-M6'!$I36/365)))</f>
        <v/>
      </c>
      <c r="L32" t="str">
        <f>IF(ISBLANK(LSP_All[[#This Row],[M7+]]),"",ABS(LSP_All[[#This Row],[M7+]]-('statistics-M7'!$I36/365)))</f>
        <v/>
      </c>
      <c r="M32" t="str">
        <f>IF(ISBLANK(LSP_All[[#This Row],[M8+]]),"",ABS(LSP_All[[#This Row],[M8+]]-('statistics-M8'!$I36/365)))</f>
        <v/>
      </c>
      <c r="O32">
        <f>IF(ISBLANK(LSP_All[[#This Row],[M4+]]),"",ABS(LSP_All[[#This Row],[M4+]]-('statistics-M4'!$F36/365)))</f>
        <v>1.323082191780822</v>
      </c>
      <c r="P32">
        <f>IF(ISBLANK(LSP_All[[#This Row],[M5+]]),"",ABS(LSP_All[[#This Row],[M5+]]-('statistics-M5'!$F36/365)))</f>
        <v>0.88920547945205475</v>
      </c>
      <c r="Q32" t="str">
        <f>IF(ISBLANK(LSP_All[[#This Row],[M6+]]),"",ABS(LSP_All[[#This Row],[M6+]]-('statistics-M6'!$F36/365)))</f>
        <v/>
      </c>
      <c r="R32" t="str">
        <f>IF(ISBLANK(LSP_All[[#This Row],[M7+]]),"",ABS(LSP_All[[#This Row],[M7+]]-('statistics-M7'!$F36/365)))</f>
        <v/>
      </c>
      <c r="S32" t="str">
        <f>IF(ISBLANK(LSP_All[[#This Row],[M8+]]),"",ABS(LSP_All[[#This Row],[M8+]]-('statistics-M8'!$F36/365)))</f>
        <v/>
      </c>
      <c r="U32">
        <f>IF(ISBLANK(LSP_All[[#This Row],[M4+]]),"",ABS(LSP_All[[#This Row],[M4+]]-('statistics-M4'!$J36/365)))</f>
        <v>1.0326712328767123</v>
      </c>
      <c r="V32">
        <f>IF(ISBLANK(LSP_All[[#This Row],[M5+]]),"",ABS(LSP_All[[#This Row],[M5+]]-('statistics-M5'!$J36/365)))</f>
        <v>0.733041095890411</v>
      </c>
      <c r="W32" t="str">
        <f>IF(ISBLANK(LSP_All[[#This Row],[M6+]]),"",ABS(LSP_All[[#This Row],[M6+]]-('statistics-M6'!$J36/365)))</f>
        <v/>
      </c>
      <c r="X32" t="str">
        <f>IF(ISBLANK(LSP_All[[#This Row],[M7+]]),"",ABS(LSP_All[[#This Row],[M7+]]-('statistics-M7'!$J36/365)))</f>
        <v/>
      </c>
      <c r="Y32" t="str">
        <f>IF(ISBLANK(LSP_All[[#This Row],[M8+]]),"",ABS(LSP_All[[#This Row],[M8+]]-('statistics-M8'!$J36/365)))</f>
        <v/>
      </c>
    </row>
    <row r="33" spans="1:25" x14ac:dyDescent="0.35">
      <c r="A33" t="s">
        <v>20</v>
      </c>
      <c r="B33">
        <v>3</v>
      </c>
      <c r="C33">
        <v>2.2050000000000001</v>
      </c>
      <c r="D33">
        <v>3.6059999999999999</v>
      </c>
      <c r="E33">
        <v>10.657</v>
      </c>
      <c r="I33">
        <f>IF(ISBLANK(LSP_All[[#This Row],[M4+]]),"",ABS(LSP_All[[#This Row],[M4+]]-('statistics-M4'!$I37/365)))</f>
        <v>0.32482932854255564</v>
      </c>
      <c r="J33">
        <f>IF(ISBLANK(LSP_All[[#This Row],[M5+]]),"",ABS(LSP_All[[#This Row],[M5+]]-('statistics-M5'!$I37/365)))</f>
        <v>0.75572602739726058</v>
      </c>
      <c r="K33">
        <f>IF(ISBLANK(LSP_All[[#This Row],[M6+]]),"",ABS(LSP_All[[#This Row],[M6+]]-('statistics-M6'!$I37/365)))</f>
        <v>1.1980989345509894</v>
      </c>
      <c r="L33" t="str">
        <f>IF(ISBLANK(LSP_All[[#This Row],[M7+]]),"",ABS(LSP_All[[#This Row],[M7+]]-('statistics-M7'!$I37/365)))</f>
        <v/>
      </c>
      <c r="M33" t="str">
        <f>IF(ISBLANK(LSP_All[[#This Row],[M8+]]),"",ABS(LSP_All[[#This Row],[M8+]]-('statistics-M8'!$I37/365)))</f>
        <v/>
      </c>
      <c r="O33">
        <f>IF(ISBLANK(LSP_All[[#This Row],[M4+]]),"",ABS(LSP_All[[#This Row],[M4+]]-('statistics-M4'!$F37/365)))</f>
        <v>1.6844520547945208</v>
      </c>
      <c r="P33">
        <f>IF(ISBLANK(LSP_All[[#This Row],[M5+]]),"",ABS(LSP_All[[#This Row],[M5+]]-('statistics-M5'!$F37/365)))</f>
        <v>2.5128493150684932</v>
      </c>
      <c r="Q33">
        <f>IF(ISBLANK(LSP_All[[#This Row],[M6+]]),"",ABS(LSP_All[[#This Row],[M6+]]-('statistics-M6'!$F37/365)))</f>
        <v>9.2624794520547944</v>
      </c>
      <c r="R33" t="str">
        <f>IF(ISBLANK(LSP_All[[#This Row],[M7+]]),"",ABS(LSP_All[[#This Row],[M7+]]-('statistics-M7'!$F37/365)))</f>
        <v/>
      </c>
      <c r="S33" t="str">
        <f>IF(ISBLANK(LSP_All[[#This Row],[M8+]]),"",ABS(LSP_All[[#This Row],[M8+]]-('statistics-M8'!$F37/365)))</f>
        <v/>
      </c>
      <c r="U33">
        <f>IF(ISBLANK(LSP_All[[#This Row],[M4+]]),"",ABS(LSP_All[[#This Row],[M4+]]-('statistics-M4'!$J37/365)))</f>
        <v>1.2597945205479453</v>
      </c>
      <c r="V33">
        <f>IF(ISBLANK(LSP_All[[#This Row],[M5+]]),"",ABS(LSP_All[[#This Row],[M5+]]-('statistics-M5'!$J37/365)))</f>
        <v>1.9128493150684931</v>
      </c>
      <c r="W33">
        <f>IF(ISBLANK(LSP_All[[#This Row],[M6+]]),"",ABS(LSP_All[[#This Row],[M6+]]-('statistics-M6'!$J37/365)))</f>
        <v>1.4525890410958908</v>
      </c>
      <c r="X33" t="str">
        <f>IF(ISBLANK(LSP_All[[#This Row],[M7+]]),"",ABS(LSP_All[[#This Row],[M7+]]-('statistics-M7'!$J37/365)))</f>
        <v/>
      </c>
      <c r="Y33" t="str">
        <f>IF(ISBLANK(LSP_All[[#This Row],[M8+]]),"",ABS(LSP_All[[#This Row],[M8+]]-('statistics-M8'!$J37/365)))</f>
        <v/>
      </c>
    </row>
    <row r="34" spans="1:25" x14ac:dyDescent="0.35">
      <c r="A34" t="s">
        <v>21</v>
      </c>
      <c r="B34">
        <v>1</v>
      </c>
      <c r="C34">
        <v>1.4339999999999999</v>
      </c>
      <c r="D34">
        <v>1.4339999999999999</v>
      </c>
      <c r="E34">
        <v>5.6859999999999999</v>
      </c>
      <c r="I34">
        <f>IF(ISBLANK(LSP_All[[#This Row],[M4+]]),"",ABS(LSP_All[[#This Row],[M4+]]-('statistics-M4'!$I38/365)))</f>
        <v>0.21294171367176995</v>
      </c>
      <c r="J34">
        <f>IF(ISBLANK(LSP_All[[#This Row],[M5+]]),"",ABS(LSP_All[[#This Row],[M5+]]-('statistics-M5'!$I38/365)))</f>
        <v>0.20085202766852017</v>
      </c>
      <c r="K34">
        <f>IF(ISBLANK(LSP_All[[#This Row],[M6+]]),"",ABS(LSP_All[[#This Row],[M6+]]-('statistics-M6'!$I38/365)))</f>
        <v>3.3664531085353002</v>
      </c>
      <c r="L34" t="str">
        <f>IF(ISBLANK(LSP_All[[#This Row],[M7+]]),"",ABS(LSP_All[[#This Row],[M7+]]-('statistics-M7'!$I38/365)))</f>
        <v/>
      </c>
      <c r="M34" t="str">
        <f>IF(ISBLANK(LSP_All[[#This Row],[M8+]]),"",ABS(LSP_All[[#This Row],[M8+]]-('statistics-M8'!$I38/365)))</f>
        <v/>
      </c>
      <c r="O34">
        <f>IF(ISBLANK(LSP_All[[#This Row],[M4+]]),"",ABS(LSP_All[[#This Row],[M4+]]-('statistics-M4'!$F38/365)))</f>
        <v>0.87509589041095881</v>
      </c>
      <c r="P34">
        <f>IF(ISBLANK(LSP_All[[#This Row],[M5+]]),"",ABS(LSP_All[[#This Row],[M5+]]-('statistics-M5'!$F38/365)))</f>
        <v>0.85591780821917807</v>
      </c>
      <c r="Q34">
        <f>IF(ISBLANK(LSP_All[[#This Row],[M6+]]),"",ABS(LSP_All[[#This Row],[M6+]]-('statistics-M6'!$F38/365)))</f>
        <v>4.96545205479452</v>
      </c>
      <c r="R34" t="str">
        <f>IF(ISBLANK(LSP_All[[#This Row],[M7+]]),"",ABS(LSP_All[[#This Row],[M7+]]-('statistics-M7'!$F38/365)))</f>
        <v/>
      </c>
      <c r="S34" t="str">
        <f>IF(ISBLANK(LSP_All[[#This Row],[M8+]]),"",ABS(LSP_All[[#This Row],[M8+]]-('statistics-M8'!$F38/365)))</f>
        <v/>
      </c>
      <c r="U34">
        <f>IF(ISBLANK(LSP_All[[#This Row],[M4+]]),"",ABS(LSP_All[[#This Row],[M4+]]-('statistics-M4'!$J38/365)))</f>
        <v>0.5353698630136986</v>
      </c>
      <c r="V34">
        <f>IF(ISBLANK(LSP_All[[#This Row],[M5+]]),"",ABS(LSP_All[[#This Row],[M5+]]-('statistics-M5'!$J38/365)))</f>
        <v>0.52715068493150674</v>
      </c>
      <c r="W34">
        <f>IF(ISBLANK(LSP_All[[#This Row],[M6+]]),"",ABS(LSP_All[[#This Row],[M6+]]-('statistics-M6'!$J38/365)))</f>
        <v>4.0942191780821915</v>
      </c>
      <c r="X34" t="str">
        <f>IF(ISBLANK(LSP_All[[#This Row],[M7+]]),"",ABS(LSP_All[[#This Row],[M7+]]-('statistics-M7'!$J38/365)))</f>
        <v/>
      </c>
      <c r="Y34" t="str">
        <f>IF(ISBLANK(LSP_All[[#This Row],[M8+]]),"",ABS(LSP_All[[#This Row],[M8+]]-('statistics-M8'!$J38/365)))</f>
        <v/>
      </c>
    </row>
    <row r="35" spans="1:25" x14ac:dyDescent="0.35">
      <c r="A35" t="s">
        <v>22</v>
      </c>
      <c r="B35">
        <v>1</v>
      </c>
      <c r="C35">
        <v>2.2549999999999999</v>
      </c>
      <c r="D35">
        <v>2.2549999999999999</v>
      </c>
      <c r="E35">
        <v>7.09</v>
      </c>
      <c r="I35">
        <f>IF(ISBLANK(LSP_All[[#This Row],[M4+]]),"",ABS(LSP_All[[#This Row],[M4+]]-('statistics-M4'!$I41/365)))</f>
        <v>0.86166666666666658</v>
      </c>
      <c r="J35">
        <f>IF(ISBLANK(LSP_All[[#This Row],[M5+]]),"",ABS(LSP_All[[#This Row],[M5+]]-('statistics-M5'!$I41/365)))</f>
        <v>0.84601123595505601</v>
      </c>
      <c r="K35">
        <f>IF(ISBLANK(LSP_All[[#This Row],[M6+]]),"",ABS(LSP_All[[#This Row],[M6+]]-('statistics-M6'!$I41/365)))</f>
        <v>3.4173166800966963</v>
      </c>
      <c r="L35" t="str">
        <f>IF(ISBLANK(LSP_All[[#This Row],[M7+]]),"",ABS(LSP_All[[#This Row],[M7+]]-('statistics-M7'!$I41/365)))</f>
        <v/>
      </c>
      <c r="M35" t="str">
        <f>IF(ISBLANK(LSP_All[[#This Row],[M8+]]),"",ABS(LSP_All[[#This Row],[M8+]]-('statistics-M8'!$I41/365)))</f>
        <v/>
      </c>
      <c r="O35">
        <f>IF(ISBLANK(LSP_All[[#This Row],[M4+]]),"",ABS(LSP_All[[#This Row],[M4+]]-('statistics-M4'!$F41/365)))</f>
        <v>1.698835616438356</v>
      </c>
      <c r="P35">
        <f>IF(ISBLANK(LSP_All[[#This Row],[M5+]]),"",ABS(LSP_All[[#This Row],[M5+]]-('statistics-M5'!$F41/365)))</f>
        <v>1.698835616438356</v>
      </c>
      <c r="Q35">
        <f>IF(ISBLANK(LSP_All[[#This Row],[M6+]]),"",ABS(LSP_All[[#This Row],[M6+]]-('statistics-M6'!$F41/365)))</f>
        <v>6.5036986301369861</v>
      </c>
      <c r="R35" t="str">
        <f>IF(ISBLANK(LSP_All[[#This Row],[M7+]]),"",ABS(LSP_All[[#This Row],[M7+]]-('statistics-M7'!$F41/365)))</f>
        <v/>
      </c>
      <c r="S35" t="str">
        <f>IF(ISBLANK(LSP_All[[#This Row],[M8+]]),"",ABS(LSP_All[[#This Row],[M8+]]-('statistics-M8'!$F41/365)))</f>
        <v/>
      </c>
      <c r="U35">
        <f>IF(ISBLANK(LSP_All[[#This Row],[M4+]]),"",ABS(LSP_All[[#This Row],[M4+]]-('statistics-M4'!$J41/365)))</f>
        <v>1.3591095890410958</v>
      </c>
      <c r="V35">
        <f>IF(ISBLANK(LSP_All[[#This Row],[M5+]]),"",ABS(LSP_All[[#This Row],[M5+]]-('statistics-M5'!$J41/365)))</f>
        <v>1.3317123287671233</v>
      </c>
      <c r="W35">
        <f>IF(ISBLANK(LSP_All[[#This Row],[M6+]]),"",ABS(LSP_All[[#This Row],[M6+]]-('statistics-M6'!$J41/365)))</f>
        <v>3.9886301369863011</v>
      </c>
      <c r="X35" t="str">
        <f>IF(ISBLANK(LSP_All[[#This Row],[M7+]]),"",ABS(LSP_All[[#This Row],[M7+]]-('statistics-M7'!$J41/365)))</f>
        <v/>
      </c>
      <c r="Y35" t="str">
        <f>IF(ISBLANK(LSP_All[[#This Row],[M8+]]),"",ABS(LSP_All[[#This Row],[M8+]]-('statistics-M8'!$J41/365)))</f>
        <v/>
      </c>
    </row>
    <row r="36" spans="1:25" x14ac:dyDescent="0.35">
      <c r="A36" t="s">
        <v>23</v>
      </c>
      <c r="B36">
        <v>1</v>
      </c>
      <c r="C36">
        <v>2.09</v>
      </c>
      <c r="D36">
        <v>2.09</v>
      </c>
      <c r="E36">
        <v>6.0940000000000003</v>
      </c>
      <c r="F36">
        <v>11.682</v>
      </c>
      <c r="I36">
        <f>IF(ISBLANK(LSP_All[[#This Row],[M4+]]),"",ABS(LSP_All[[#This Row],[M4+]]-('statistics-M4'!$I42/365)))</f>
        <v>0.79699053805959608</v>
      </c>
      <c r="J36">
        <f>IF(ISBLANK(LSP_All[[#This Row],[M5+]]),"",ABS(LSP_All[[#This Row],[M5+]]-('statistics-M5'!$I42/365)))</f>
        <v>0.79699053805959608</v>
      </c>
      <c r="K36">
        <f>IF(ISBLANK(LSP_All[[#This Row],[M6+]]),"",ABS(LSP_All[[#This Row],[M6+]]-('statistics-M6'!$I42/365)))</f>
        <v>3.2668518057285181</v>
      </c>
      <c r="L36">
        <f>IF(ISBLANK(LSP_All[[#This Row],[M7+]]),"",ABS(LSP_All[[#This Row],[M7+]]-('statistics-M7'!$I42/365)))</f>
        <v>0.45350684931507068</v>
      </c>
      <c r="M36" t="str">
        <f>IF(ISBLANK(LSP_All[[#This Row],[M8+]]),"",ABS(LSP_All[[#This Row],[M8+]]-('statistics-M8'!$I42/365)))</f>
        <v/>
      </c>
      <c r="O36">
        <f>IF(ISBLANK(LSP_All[[#This Row],[M4+]]),"",ABS(LSP_All[[#This Row],[M4+]]-('statistics-M4'!$F42/365)))</f>
        <v>1.5886301369863012</v>
      </c>
      <c r="P36">
        <f>IF(ISBLANK(LSP_All[[#This Row],[M5+]]),"",ABS(LSP_All[[#This Row],[M5+]]-('statistics-M5'!$F42/365)))</f>
        <v>1.5886301369863012</v>
      </c>
      <c r="Q36">
        <f>IF(ISBLANK(LSP_All[[#This Row],[M6+]]),"",ABS(LSP_All[[#This Row],[M6+]]-('statistics-M6'!$F42/365)))</f>
        <v>5.2172876712328771</v>
      </c>
      <c r="R36">
        <f>IF(ISBLANK(LSP_All[[#This Row],[M7+]]),"",ABS(LSP_All[[#This Row],[M7+]]-('statistics-M7'!$F42/365)))</f>
        <v>10.605287671232878</v>
      </c>
      <c r="S36" t="str">
        <f>IF(ISBLANK(LSP_All[[#This Row],[M8+]]),"",ABS(LSP_All[[#This Row],[M8+]]-('statistics-M8'!$F42/365)))</f>
        <v/>
      </c>
      <c r="U36">
        <f>IF(ISBLANK(LSP_All[[#This Row],[M4+]]),"",ABS(LSP_All[[#This Row],[M4+]]-('statistics-M4'!$J42/365)))</f>
        <v>1.1420547945205479</v>
      </c>
      <c r="V36">
        <f>IF(ISBLANK(LSP_All[[#This Row],[M5+]]),"",ABS(LSP_All[[#This Row],[M5+]]-('statistics-M5'!$J42/365)))</f>
        <v>1.1420547945205479</v>
      </c>
      <c r="W36">
        <f>IF(ISBLANK(LSP_All[[#This Row],[M6+]]),"",ABS(LSP_All[[#This Row],[M6+]]-('statistics-M6'!$J42/365)))</f>
        <v>3.8912602739726032</v>
      </c>
      <c r="X36">
        <f>IF(ISBLANK(LSP_All[[#This Row],[M7+]]),"",ABS(LSP_All[[#This Row],[M7+]]-('statistics-M7'!$J42/365)))</f>
        <v>3.7724109589041097</v>
      </c>
      <c r="Y36" t="str">
        <f>IF(ISBLANK(LSP_All[[#This Row],[M8+]]),"",ABS(LSP_All[[#This Row],[M8+]]-('statistics-M8'!$J42/365)))</f>
        <v/>
      </c>
    </row>
    <row r="37" spans="1:25" x14ac:dyDescent="0.35">
      <c r="A37" t="s">
        <v>24</v>
      </c>
      <c r="B37">
        <v>1</v>
      </c>
      <c r="C37">
        <v>3.1560000000000001</v>
      </c>
      <c r="D37">
        <v>2.2629999999999999</v>
      </c>
      <c r="E37">
        <v>4.867</v>
      </c>
      <c r="I37">
        <f>IF(ISBLANK(LSP_All[[#This Row],[M4+]]),"",ABS(LSP_All[[#This Row],[M4+]]-('statistics-M4'!$I44/365)))</f>
        <v>1.8179047619047619</v>
      </c>
      <c r="J37">
        <f>IF(ISBLANK(LSP_All[[#This Row],[M5+]]),"",ABS(LSP_All[[#This Row],[M5+]]-('statistics-M5'!$I44/365)))</f>
        <v>0.71585388127853866</v>
      </c>
      <c r="K37">
        <f>IF(ISBLANK(LSP_All[[#This Row],[M6+]]),"",ABS(LSP_All[[#This Row],[M6+]]-('statistics-M6'!$I44/365)))</f>
        <v>0.59915916503587763</v>
      </c>
      <c r="L37" t="str">
        <f>IF(ISBLANK(LSP_All[[#This Row],[M7+]]),"",ABS(LSP_All[[#This Row],[M7+]]-('statistics-M7'!$I44/365)))</f>
        <v/>
      </c>
      <c r="M37" t="str">
        <f>IF(ISBLANK(LSP_All[[#This Row],[M8+]]),"",ABS(LSP_All[[#This Row],[M8+]]-('statistics-M8'!$I44/365)))</f>
        <v/>
      </c>
      <c r="O37">
        <f>IF(ISBLANK(LSP_All[[#This Row],[M4+]]),"",ABS(LSP_All[[#This Row],[M4+]]-('statistics-M4'!$F44/365)))</f>
        <v>2.3724383561643836</v>
      </c>
      <c r="P37">
        <f>IF(ISBLANK(LSP_All[[#This Row],[M5+]]),"",ABS(LSP_All[[#This Row],[M5+]]-('statistics-M5'!$F44/365)))</f>
        <v>1.4794383561643834</v>
      </c>
      <c r="Q37">
        <f>IF(ISBLANK(LSP_All[[#This Row],[M6+]]),"",ABS(LSP_All[[#This Row],[M6+]]-('statistics-M6'!$F44/365)))</f>
        <v>4.264260273972603</v>
      </c>
      <c r="R37" t="str">
        <f>IF(ISBLANK(LSP_All[[#This Row],[M7+]]),"",ABS(LSP_All[[#This Row],[M7+]]-('statistics-M7'!$F44/365)))</f>
        <v/>
      </c>
      <c r="S37" t="str">
        <f>IF(ISBLANK(LSP_All[[#This Row],[M8+]]),"",ABS(LSP_All[[#This Row],[M8+]]-('statistics-M8'!$F44/365)))</f>
        <v/>
      </c>
      <c r="U37">
        <f>IF(ISBLANK(LSP_All[[#This Row],[M4+]]),"",ABS(LSP_All[[#This Row],[M4+]]-('statistics-M4'!$J44/365)))</f>
        <v>2.3258630136986302</v>
      </c>
      <c r="V37">
        <f>IF(ISBLANK(LSP_All[[#This Row],[M5+]]),"",ABS(LSP_All[[#This Row],[M5+]]-('statistics-M5'!$J44/365)))</f>
        <v>1.3712191780821916</v>
      </c>
      <c r="W37">
        <f>IF(ISBLANK(LSP_All[[#This Row],[M6+]]),"",ABS(LSP_All[[#This Row],[M6+]]-('statistics-M6'!$J44/365)))</f>
        <v>2.0889178082191782</v>
      </c>
      <c r="X37" t="str">
        <f>IF(ISBLANK(LSP_All[[#This Row],[M7+]]),"",ABS(LSP_All[[#This Row],[M7+]]-('statistics-M7'!$J44/365)))</f>
        <v/>
      </c>
      <c r="Y37" t="str">
        <f>IF(ISBLANK(LSP_All[[#This Row],[M8+]]),"",ABS(LSP_All[[#This Row],[M8+]]-('statistics-M8'!$J44/365)))</f>
        <v/>
      </c>
    </row>
    <row r="38" spans="1:25" x14ac:dyDescent="0.35">
      <c r="A38" t="s">
        <v>24</v>
      </c>
      <c r="B38">
        <v>2</v>
      </c>
      <c r="C38">
        <v>3.96</v>
      </c>
      <c r="I38">
        <f>IF(ISBLANK(LSP_All[[#This Row],[M4+]]),"",ABS(LSP_All[[#This Row],[M4+]]-('statistics-M4'!$I45/365)))</f>
        <v>4.3835616438356872E-3</v>
      </c>
      <c r="J38" t="str">
        <f>IF(ISBLANK(LSP_All[[#This Row],[M5+]]),"",ABS(LSP_All[[#This Row],[M5+]]-('statistics-M5'!$I45/365)))</f>
        <v/>
      </c>
      <c r="K38" t="str">
        <f>IF(ISBLANK(LSP_All[[#This Row],[M6+]]),"",ABS(LSP_All[[#This Row],[M6+]]-('statistics-M6'!$I45/365)))</f>
        <v/>
      </c>
      <c r="L38" t="str">
        <f>IF(ISBLANK(LSP_All[[#This Row],[M7+]]),"",ABS(LSP_All[[#This Row],[M7+]]-('statistics-M7'!$I45/365)))</f>
        <v/>
      </c>
      <c r="M38" t="str">
        <f>IF(ISBLANK(LSP_All[[#This Row],[M8+]]),"",ABS(LSP_All[[#This Row],[M8+]]-('statistics-M8'!$I45/365)))</f>
        <v/>
      </c>
      <c r="O38">
        <f>IF(ISBLANK(LSP_All[[#This Row],[M4+]]),"",ABS(LSP_All[[#This Row],[M4+]]-('statistics-M4'!$F45/365)))</f>
        <v>3.3052054794520549</v>
      </c>
      <c r="P38" t="str">
        <f>IF(ISBLANK(LSP_All[[#This Row],[M5+]]),"",ABS(LSP_All[[#This Row],[M5+]]-('statistics-M5'!$F45/365)))</f>
        <v/>
      </c>
      <c r="Q38" t="str">
        <f>IF(ISBLANK(LSP_All[[#This Row],[M6+]]),"",ABS(LSP_All[[#This Row],[M6+]]-('statistics-M6'!$F45/365)))</f>
        <v/>
      </c>
      <c r="R38" t="str">
        <f>IF(ISBLANK(LSP_All[[#This Row],[M7+]]),"",ABS(LSP_All[[#This Row],[M7+]]-('statistics-M7'!$F45/365)))</f>
        <v/>
      </c>
      <c r="S38" t="str">
        <f>IF(ISBLANK(LSP_All[[#This Row],[M8+]]),"",ABS(LSP_All[[#This Row],[M8+]]-('statistics-M8'!$F45/365)))</f>
        <v/>
      </c>
      <c r="U38">
        <f>IF(ISBLANK(LSP_All[[#This Row],[M4+]]),"",ABS(LSP_All[[#This Row],[M4+]]-('statistics-M4'!$J45/365)))</f>
        <v>2.4613698630136986</v>
      </c>
      <c r="V38" t="str">
        <f>IF(ISBLANK(LSP_All[[#This Row],[M5+]]),"",ABS(LSP_All[[#This Row],[M5+]]-('statistics-M5'!$J45/365)))</f>
        <v/>
      </c>
      <c r="W38" t="str">
        <f>IF(ISBLANK(LSP_All[[#This Row],[M6+]]),"",ABS(LSP_All[[#This Row],[M6+]]-('statistics-M6'!$J45/365)))</f>
        <v/>
      </c>
      <c r="X38" t="str">
        <f>IF(ISBLANK(LSP_All[[#This Row],[M7+]]),"",ABS(LSP_All[[#This Row],[M7+]]-('statistics-M7'!$J45/365)))</f>
        <v/>
      </c>
      <c r="Y38" t="str">
        <f>IF(ISBLANK(LSP_All[[#This Row],[M8+]]),"",ABS(LSP_All[[#This Row],[M8+]]-('statistics-M8'!$J45/365)))</f>
        <v/>
      </c>
    </row>
    <row r="39" spans="1:25" x14ac:dyDescent="0.35">
      <c r="A39" t="s">
        <v>25</v>
      </c>
      <c r="B39">
        <v>1</v>
      </c>
      <c r="C39">
        <v>1.0149999999999999</v>
      </c>
      <c r="D39">
        <v>1.0149999999999999</v>
      </c>
      <c r="E39">
        <v>1.012</v>
      </c>
      <c r="F39">
        <v>3.5819999999999999</v>
      </c>
      <c r="G39">
        <v>18.158999999999999</v>
      </c>
      <c r="I39">
        <f>IF(ISBLANK(LSP_All[[#This Row],[M4+]]),"",ABS(LSP_All[[#This Row],[M4+]]-('statistics-M4'!$I46/365)))</f>
        <v>6.72034618243601E-2</v>
      </c>
      <c r="J39">
        <f>IF(ISBLANK(LSP_All[[#This Row],[M5+]]),"",ABS(LSP_All[[#This Row],[M5+]]-('statistics-M5'!$I46/365)))</f>
        <v>6.72034618243601E-2</v>
      </c>
      <c r="K39">
        <f>IF(ISBLANK(LSP_All[[#This Row],[M6+]]),"",ABS(LSP_All[[#This Row],[M6+]]-('statistics-M6'!$I46/365)))</f>
        <v>9.821693240512186E-3</v>
      </c>
      <c r="L39">
        <f>IF(ISBLANK(LSP_All[[#This Row],[M7+]]),"",ABS(LSP_All[[#This Row],[M7+]]-('statistics-M7'!$I46/365)))</f>
        <v>0.78161771264734003</v>
      </c>
      <c r="M39">
        <f>IF(ISBLANK(LSP_All[[#This Row],[M8+]]),"",ABS(LSP_All[[#This Row],[M8+]]-('statistics-M8'!$I46/365)))</f>
        <v>7.2433835616438351</v>
      </c>
      <c r="O39">
        <f>IF(ISBLANK(LSP_All[[#This Row],[M4+]]),"",ABS(LSP_All[[#This Row],[M4+]]-('statistics-M4'!$F46/365)))</f>
        <v>0.16842465753424651</v>
      </c>
      <c r="P39">
        <f>IF(ISBLANK(LSP_All[[#This Row],[M5+]]),"",ABS(LSP_All[[#This Row],[M5+]]-('statistics-M5'!$F46/365)))</f>
        <v>0.16842465753424651</v>
      </c>
      <c r="Q39">
        <f>IF(ISBLANK(LSP_All[[#This Row],[M6+]]),"",ABS(LSP_All[[#This Row],[M6+]]-('statistics-M6'!$F46/365)))</f>
        <v>0.16542465753424662</v>
      </c>
      <c r="R39">
        <f>IF(ISBLANK(LSP_All[[#This Row],[M7+]]),"",ABS(LSP_All[[#This Row],[M7+]]-('statistics-M7'!$F46/365)))</f>
        <v>1.5628219178082192</v>
      </c>
      <c r="S39">
        <f>IF(ISBLANK(LSP_All[[#This Row],[M8+]]),"",ABS(LSP_All[[#This Row],[M8+]]-('statistics-M8'!$F46/365)))</f>
        <v>16.69872602739726</v>
      </c>
      <c r="U39">
        <f>IF(ISBLANK(LSP_All[[#This Row],[M4+]]),"",ABS(LSP_All[[#This Row],[M4+]]-('statistics-M4'!$J46/365)))</f>
        <v>0.16842465753424651</v>
      </c>
      <c r="V39">
        <f>IF(ISBLANK(LSP_All[[#This Row],[M5+]]),"",ABS(LSP_All[[#This Row],[M5+]]-('statistics-M5'!$J46/365)))</f>
        <v>0.16842465753424651</v>
      </c>
      <c r="W39">
        <f>IF(ISBLANK(LSP_All[[#This Row],[M6+]]),"",ABS(LSP_All[[#This Row],[M6+]]-('statistics-M6'!$J46/365)))</f>
        <v>0.12843835616438359</v>
      </c>
      <c r="X39">
        <f>IF(ISBLANK(LSP_All[[#This Row],[M7+]]),"",ABS(LSP_All[[#This Row],[M7+]]-('statistics-M7'!$J46/365)))</f>
        <v>1.5628219178082192</v>
      </c>
      <c r="Y39">
        <f>IF(ISBLANK(LSP_All[[#This Row],[M8+]]),"",ABS(LSP_All[[#This Row],[M8+]]-('statistics-M8'!$J46/365)))</f>
        <v>8.2233835616438338</v>
      </c>
    </row>
    <row r="40" spans="1:25" x14ac:dyDescent="0.35">
      <c r="A40" t="s">
        <v>25</v>
      </c>
      <c r="B40">
        <v>2</v>
      </c>
      <c r="C40">
        <v>1.661</v>
      </c>
      <c r="D40">
        <v>1.661</v>
      </c>
      <c r="E40">
        <v>4.1399999999999997</v>
      </c>
      <c r="I40">
        <f>IF(ISBLANK(LSP_All[[#This Row],[M4+]]),"",ABS(LSP_All[[#This Row],[M4+]]-('statistics-M4'!$I47/365)))</f>
        <v>0.4996682850702272</v>
      </c>
      <c r="J40">
        <f>IF(ISBLANK(LSP_All[[#This Row],[M5+]]),"",ABS(LSP_All[[#This Row],[M5+]]-('statistics-M5'!$I47/365)))</f>
        <v>0.4996682850702272</v>
      </c>
      <c r="K40">
        <f>IF(ISBLANK(LSP_All[[#This Row],[M6+]]),"",ABS(LSP_All[[#This Row],[M6+]]-('statistics-M6'!$I47/365)))</f>
        <v>1.7213402443539425</v>
      </c>
      <c r="L40" t="str">
        <f>IF(ISBLANK(LSP_All[[#This Row],[M7+]]),"",ABS(LSP_All[[#This Row],[M7+]]-('statistics-M7'!$I47/365)))</f>
        <v/>
      </c>
      <c r="M40" t="str">
        <f>IF(ISBLANK(LSP_All[[#This Row],[M8+]]),"",ABS(LSP_All[[#This Row],[M8+]]-('statistics-M8'!$I47/365)))</f>
        <v/>
      </c>
      <c r="O40">
        <f>IF(ISBLANK(LSP_All[[#This Row],[M4+]]),"",ABS(LSP_All[[#This Row],[M4+]]-('statistics-M4'!$F47/365)))</f>
        <v>1.1267534246575344</v>
      </c>
      <c r="P40">
        <f>IF(ISBLANK(LSP_All[[#This Row],[M5+]]),"",ABS(LSP_All[[#This Row],[M5+]]-('statistics-M5'!$F47/365)))</f>
        <v>1.1267534246575344</v>
      </c>
      <c r="Q40">
        <f>IF(ISBLANK(LSP_All[[#This Row],[M6+]]),"",ABS(LSP_All[[#This Row],[M6+]]-('statistics-M6'!$F47/365)))</f>
        <v>3.616712328767123</v>
      </c>
      <c r="R40" t="str">
        <f>IF(ISBLANK(LSP_All[[#This Row],[M7+]]),"",ABS(LSP_All[[#This Row],[M7+]]-('statistics-M7'!$F47/365)))</f>
        <v/>
      </c>
      <c r="S40" t="str">
        <f>IF(ISBLANK(LSP_All[[#This Row],[M8+]]),"",ABS(LSP_All[[#This Row],[M8+]]-('statistics-M8'!$F47/365)))</f>
        <v/>
      </c>
      <c r="U40">
        <f>IF(ISBLANK(LSP_All[[#This Row],[M4+]]),"",ABS(LSP_All[[#This Row],[M4+]]-('statistics-M4'!$J47/365)))</f>
        <v>0.83634246575342464</v>
      </c>
      <c r="V40">
        <f>IF(ISBLANK(LSP_All[[#This Row],[M5+]]),"",ABS(LSP_All[[#This Row],[M5+]]-('statistics-M5'!$J47/365)))</f>
        <v>0.83634246575342464</v>
      </c>
      <c r="W40">
        <f>IF(ISBLANK(LSP_All[[#This Row],[M6+]]),"",ABS(LSP_All[[#This Row],[M6+]]-('statistics-M6'!$J47/365)))</f>
        <v>2.2906849315068492</v>
      </c>
      <c r="X40" t="str">
        <f>IF(ISBLANK(LSP_All[[#This Row],[M7+]]),"",ABS(LSP_All[[#This Row],[M7+]]-('statistics-M7'!$J47/365)))</f>
        <v/>
      </c>
      <c r="Y40" t="str">
        <f>IF(ISBLANK(LSP_All[[#This Row],[M8+]]),"",ABS(LSP_All[[#This Row],[M8+]]-('statistics-M8'!$J47/365)))</f>
        <v/>
      </c>
    </row>
    <row r="41" spans="1:25" x14ac:dyDescent="0.35">
      <c r="A41" t="s">
        <v>25</v>
      </c>
      <c r="B41">
        <v>3</v>
      </c>
      <c r="C41">
        <v>3.194</v>
      </c>
      <c r="D41">
        <v>3.194</v>
      </c>
      <c r="I41">
        <f>IF(ISBLANK(LSP_All[[#This Row],[M4+]]),"",ABS(LSP_All[[#This Row],[M4+]]-('statistics-M4'!$I48/365)))</f>
        <v>1.7057562870578613</v>
      </c>
      <c r="J41">
        <f>IF(ISBLANK(LSP_All[[#This Row],[M5+]]),"",ABS(LSP_All[[#This Row],[M5+]]-('statistics-M5'!$I48/365)))</f>
        <v>1.7057562870578613</v>
      </c>
      <c r="K41" t="str">
        <f>IF(ISBLANK(LSP_All[[#This Row],[M6+]]),"",ABS(LSP_All[[#This Row],[M6+]]-('statistics-M6'!$I48/365)))</f>
        <v/>
      </c>
      <c r="L41" t="str">
        <f>IF(ISBLANK(LSP_All[[#This Row],[M7+]]),"",ABS(LSP_All[[#This Row],[M7+]]-('statistics-M7'!$I48/365)))</f>
        <v/>
      </c>
      <c r="M41" t="str">
        <f>IF(ISBLANK(LSP_All[[#This Row],[M8+]]),"",ABS(LSP_All[[#This Row],[M8+]]-('statistics-M8'!$I48/365)))</f>
        <v/>
      </c>
      <c r="O41">
        <f>IF(ISBLANK(LSP_All[[#This Row],[M4+]]),"",ABS(LSP_All[[#This Row],[M4+]]-('statistics-M4'!$F48/365)))</f>
        <v>2.5309863013698628</v>
      </c>
      <c r="P41">
        <f>IF(ISBLANK(LSP_All[[#This Row],[M5+]]),"",ABS(LSP_All[[#This Row],[M5+]]-('statistics-M5'!$F48/365)))</f>
        <v>2.5309863013698628</v>
      </c>
      <c r="Q41" t="str">
        <f>IF(ISBLANK(LSP_All[[#This Row],[M6+]]),"",ABS(LSP_All[[#This Row],[M6+]]-('statistics-M6'!$F48/365)))</f>
        <v/>
      </c>
      <c r="R41" t="str">
        <f>IF(ISBLANK(LSP_All[[#This Row],[M7+]]),"",ABS(LSP_All[[#This Row],[M7+]]-('statistics-M7'!$F48/365)))</f>
        <v/>
      </c>
      <c r="S41" t="str">
        <f>IF(ISBLANK(LSP_All[[#This Row],[M8+]]),"",ABS(LSP_All[[#This Row],[M8+]]-('statistics-M8'!$F48/365)))</f>
        <v/>
      </c>
      <c r="U41">
        <f>IF(ISBLANK(LSP_All[[#This Row],[M4+]]),"",ABS(LSP_All[[#This Row],[M4+]]-('statistics-M4'!$J48/365)))</f>
        <v>2.3940000000000001</v>
      </c>
      <c r="V41">
        <f>IF(ISBLANK(LSP_All[[#This Row],[M5+]]),"",ABS(LSP_All[[#This Row],[M5+]]-('statistics-M5'!$J48/365)))</f>
        <v>2.3940000000000001</v>
      </c>
      <c r="W41" t="str">
        <f>IF(ISBLANK(LSP_All[[#This Row],[M6+]]),"",ABS(LSP_All[[#This Row],[M6+]]-('statistics-M6'!$J48/365)))</f>
        <v/>
      </c>
      <c r="X41" t="str">
        <f>IF(ISBLANK(LSP_All[[#This Row],[M7+]]),"",ABS(LSP_All[[#This Row],[M7+]]-('statistics-M7'!$J48/365)))</f>
        <v/>
      </c>
      <c r="Y41" t="str">
        <f>IF(ISBLANK(LSP_All[[#This Row],[M8+]]),"",ABS(LSP_All[[#This Row],[M8+]]-('statistics-M8'!$J48/365)))</f>
        <v/>
      </c>
    </row>
    <row r="42" spans="1:25" x14ac:dyDescent="0.35">
      <c r="A42" t="s">
        <v>26</v>
      </c>
      <c r="B42">
        <v>1</v>
      </c>
      <c r="C42">
        <v>1.8009999999999999</v>
      </c>
      <c r="D42">
        <v>1.8009999999999999</v>
      </c>
      <c r="E42">
        <v>9.6379999999999999</v>
      </c>
      <c r="I42">
        <f>IF(ISBLANK(LSP_All[[#This Row],[M4+]]),"",ABS(LSP_All[[#This Row],[M4+]]-('statistics-M4'!$I49/365)))</f>
        <v>0.42555079167407928</v>
      </c>
      <c r="J42">
        <f>IF(ISBLANK(LSP_All[[#This Row],[M5+]]),"",ABS(LSP_All[[#This Row],[M5+]]-('statistics-M5'!$I49/365)))</f>
        <v>0.42555079167407928</v>
      </c>
      <c r="K42">
        <f>IF(ISBLANK(LSP_All[[#This Row],[M6+]]),"",ABS(LSP_All[[#This Row],[M6+]]-('statistics-M6'!$I49/365)))</f>
        <v>4.9013872976338728</v>
      </c>
      <c r="L42" t="str">
        <f>IF(ISBLANK(LSP_All[[#This Row],[M7+]]),"",ABS(LSP_All[[#This Row],[M7+]]-('statistics-M7'!$I49/365)))</f>
        <v/>
      </c>
      <c r="M42" t="str">
        <f>IF(ISBLANK(LSP_All[[#This Row],[M8+]]),"",ABS(LSP_All[[#This Row],[M8+]]-('statistics-M8'!$I49/365)))</f>
        <v/>
      </c>
      <c r="O42">
        <f>IF(ISBLANK(LSP_All[[#This Row],[M4+]]),"",ABS(LSP_All[[#This Row],[M4+]]-('statistics-M4'!$F49/365)))</f>
        <v>1.0119589041095889</v>
      </c>
      <c r="P42">
        <f>IF(ISBLANK(LSP_All[[#This Row],[M5+]]),"",ABS(LSP_All[[#This Row],[M5+]]-('statistics-M5'!$F49/365)))</f>
        <v>1.0119589041095889</v>
      </c>
      <c r="Q42">
        <f>IF(ISBLANK(LSP_All[[#This Row],[M6+]]),"",ABS(LSP_All[[#This Row],[M6+]]-('statistics-M6'!$F49/365)))</f>
        <v>7.1010136986301369</v>
      </c>
      <c r="R42" t="str">
        <f>IF(ISBLANK(LSP_All[[#This Row],[M7+]]),"",ABS(LSP_All[[#This Row],[M7+]]-('statistics-M7'!$F49/365)))</f>
        <v/>
      </c>
      <c r="S42" t="str">
        <f>IF(ISBLANK(LSP_All[[#This Row],[M8+]]),"",ABS(LSP_All[[#This Row],[M8+]]-('statistics-M8'!$F49/365)))</f>
        <v/>
      </c>
      <c r="U42">
        <f>IF(ISBLANK(LSP_All[[#This Row],[M4+]]),"",ABS(LSP_All[[#This Row],[M4+]]-('statistics-M4'!$J49/365)))</f>
        <v>0.94620547945205469</v>
      </c>
      <c r="V42">
        <f>IF(ISBLANK(LSP_All[[#This Row],[M5+]]),"",ABS(LSP_All[[#This Row],[M5+]]-('statistics-M5'!$J49/365)))</f>
        <v>0.94620547945205469</v>
      </c>
      <c r="W42">
        <f>IF(ISBLANK(LSP_All[[#This Row],[M6+]]),"",ABS(LSP_All[[#This Row],[M6+]]-('statistics-M6'!$J49/365)))</f>
        <v>6.4790958904109583</v>
      </c>
      <c r="X42" t="str">
        <f>IF(ISBLANK(LSP_All[[#This Row],[M7+]]),"",ABS(LSP_All[[#This Row],[M7+]]-('statistics-M7'!$J49/365)))</f>
        <v/>
      </c>
      <c r="Y42" t="str">
        <f>IF(ISBLANK(LSP_All[[#This Row],[M8+]]),"",ABS(LSP_All[[#This Row],[M8+]]-('statistics-M8'!$J49/365)))</f>
        <v/>
      </c>
    </row>
    <row r="43" spans="1:25" x14ac:dyDescent="0.35">
      <c r="A43" t="s">
        <v>26</v>
      </c>
      <c r="B43">
        <v>2</v>
      </c>
      <c r="C43">
        <v>2.8570000000000002</v>
      </c>
      <c r="D43">
        <v>2.8570000000000002</v>
      </c>
      <c r="E43">
        <v>3.6539999999999999</v>
      </c>
      <c r="I43">
        <f>IF(ISBLANK(LSP_All[[#This Row],[M4+]]),"",ABS(LSP_All[[#This Row],[M4+]]-('statistics-M4'!$I50/365)))</f>
        <v>1.4154673416716299</v>
      </c>
      <c r="J43">
        <f>IF(ISBLANK(LSP_All[[#This Row],[M5+]]),"",ABS(LSP_All[[#This Row],[M5+]]-('statistics-M5'!$I50/365)))</f>
        <v>1.4154673416716299</v>
      </c>
      <c r="K43">
        <f>IF(ISBLANK(LSP_All[[#This Row],[M6+]]),"",ABS(LSP_All[[#This Row],[M6+]]-('statistics-M6'!$I50/365)))</f>
        <v>1.5472602739726025</v>
      </c>
      <c r="L43" t="str">
        <f>IF(ISBLANK(LSP_All[[#This Row],[M7+]]),"",ABS(LSP_All[[#This Row],[M7+]]-('statistics-M7'!$I50/365)))</f>
        <v/>
      </c>
      <c r="M43" t="str">
        <f>IF(ISBLANK(LSP_All[[#This Row],[M8+]]),"",ABS(LSP_All[[#This Row],[M8+]]-('statistics-M8'!$I50/365)))</f>
        <v/>
      </c>
      <c r="O43">
        <f>IF(ISBLANK(LSP_All[[#This Row],[M4+]]),"",ABS(LSP_All[[#This Row],[M4+]]-('statistics-M4'!$F50/365)))</f>
        <v>2.3145342465753425</v>
      </c>
      <c r="P43">
        <f>IF(ISBLANK(LSP_All[[#This Row],[M5+]]),"",ABS(LSP_All[[#This Row],[M5+]]-('statistics-M5'!$F50/365)))</f>
        <v>2.3145342465753425</v>
      </c>
      <c r="Q43">
        <f>IF(ISBLANK(LSP_All[[#This Row],[M6+]]),"",ABS(LSP_All[[#This Row],[M6+]]-('statistics-M6'!$F50/365)))</f>
        <v>3.1115342465753422</v>
      </c>
      <c r="R43" t="str">
        <f>IF(ISBLANK(LSP_All[[#This Row],[M7+]]),"",ABS(LSP_All[[#This Row],[M7+]]-('statistics-M7'!$F50/365)))</f>
        <v/>
      </c>
      <c r="S43" t="str">
        <f>IF(ISBLANK(LSP_All[[#This Row],[M8+]]),"",ABS(LSP_All[[#This Row],[M8+]]-('statistics-M8'!$F50/365)))</f>
        <v/>
      </c>
      <c r="U43">
        <f>IF(ISBLANK(LSP_All[[#This Row],[M4+]]),"",ABS(LSP_All[[#This Row],[M4+]]-('statistics-M4'!$J50/365)))</f>
        <v>2.032342465753425</v>
      </c>
      <c r="V43">
        <f>IF(ISBLANK(LSP_All[[#This Row],[M5+]]),"",ABS(LSP_All[[#This Row],[M5+]]-('statistics-M5'!$J50/365)))</f>
        <v>2.032342465753425</v>
      </c>
      <c r="W43">
        <f>IF(ISBLANK(LSP_All[[#This Row],[M6+]]),"",ABS(LSP_All[[#This Row],[M6+]]-('statistics-M6'!$J50/365)))</f>
        <v>1.7635890410958903</v>
      </c>
      <c r="X43" t="str">
        <f>IF(ISBLANK(LSP_All[[#This Row],[M7+]]),"",ABS(LSP_All[[#This Row],[M7+]]-('statistics-M7'!$J50/365)))</f>
        <v/>
      </c>
      <c r="Y43" t="str">
        <f>IF(ISBLANK(LSP_All[[#This Row],[M8+]]),"",ABS(LSP_All[[#This Row],[M8+]]-('statistics-M8'!$J50/365)))</f>
        <v/>
      </c>
    </row>
    <row r="44" spans="1:25" x14ac:dyDescent="0.35">
      <c r="A44" t="s">
        <v>26</v>
      </c>
      <c r="B44">
        <v>3</v>
      </c>
      <c r="C44">
        <v>3.0859999999999999</v>
      </c>
      <c r="D44">
        <v>2.766</v>
      </c>
      <c r="E44">
        <v>10.242000000000001</v>
      </c>
      <c r="I44">
        <f>IF(ISBLANK(LSP_All[[#This Row],[M4+]]),"",ABS(LSP_All[[#This Row],[M4+]]-('statistics-M4'!$I51/365)))</f>
        <v>1.2533884224480778</v>
      </c>
      <c r="J44">
        <f>IF(ISBLANK(LSP_All[[#This Row],[M5+]]),"",ABS(LSP_All[[#This Row],[M5+]]-('statistics-M5'!$I51/365)))</f>
        <v>0.46200223651104277</v>
      </c>
      <c r="K44">
        <f>IF(ISBLANK(LSP_All[[#This Row],[M6+]]),"",ABS(LSP_All[[#This Row],[M6+]]-('statistics-M6'!$I51/365)))</f>
        <v>5.628073059360732</v>
      </c>
      <c r="L44" t="str">
        <f>IF(ISBLANK(LSP_All[[#This Row],[M7+]]),"",ABS(LSP_All[[#This Row],[M7+]]-('statistics-M7'!$I51/365)))</f>
        <v/>
      </c>
      <c r="M44" t="str">
        <f>IF(ISBLANK(LSP_All[[#This Row],[M8+]]),"",ABS(LSP_All[[#This Row],[M8+]]-('statistics-M8'!$I51/365)))</f>
        <v/>
      </c>
      <c r="O44">
        <f>IF(ISBLANK(LSP_All[[#This Row],[M4+]]),"",ABS(LSP_All[[#This Row],[M4+]]-('statistics-M4'!$F51/365)))</f>
        <v>2.4476438356164381</v>
      </c>
      <c r="P44">
        <f>IF(ISBLANK(LSP_All[[#This Row],[M5+]]),"",ABS(LSP_All[[#This Row],[M5+]]-('statistics-M5'!$F51/365)))</f>
        <v>2.1276438356164382</v>
      </c>
      <c r="Q44">
        <f>IF(ISBLANK(LSP_All[[#This Row],[M6+]]),"",ABS(LSP_All[[#This Row],[M6+]]-('statistics-M6'!$F51/365)))</f>
        <v>9.7022739726027414</v>
      </c>
      <c r="R44" t="str">
        <f>IF(ISBLANK(LSP_All[[#This Row],[M7+]]),"",ABS(LSP_All[[#This Row],[M7+]]-('statistics-M7'!$F51/365)))</f>
        <v/>
      </c>
      <c r="S44" t="str">
        <f>IF(ISBLANK(LSP_All[[#This Row],[M8+]]),"",ABS(LSP_All[[#This Row],[M8+]]-('statistics-M8'!$F51/365)))</f>
        <v/>
      </c>
      <c r="U44">
        <f>IF(ISBLANK(LSP_All[[#This Row],[M4+]]),"",ABS(LSP_All[[#This Row],[M4+]]-('statistics-M4'!$J51/365)))</f>
        <v>2.1394246575342466</v>
      </c>
      <c r="V44">
        <f>IF(ISBLANK(LSP_All[[#This Row],[M5+]]),"",ABS(LSP_All[[#This Row],[M5+]]-('statistics-M5'!$J51/365)))</f>
        <v>1.5824383561643836</v>
      </c>
      <c r="W44">
        <f>IF(ISBLANK(LSP_All[[#This Row],[M6+]]),"",ABS(LSP_All[[#This Row],[M6+]]-('statistics-M6'!$J51/365)))</f>
        <v>7.7159726027397273</v>
      </c>
      <c r="X44" t="str">
        <f>IF(ISBLANK(LSP_All[[#This Row],[M7+]]),"",ABS(LSP_All[[#This Row],[M7+]]-('statistics-M7'!$J51/365)))</f>
        <v/>
      </c>
      <c r="Y44" t="str">
        <f>IF(ISBLANK(LSP_All[[#This Row],[M8+]]),"",ABS(LSP_All[[#This Row],[M8+]]-('statistics-M8'!$J51/365)))</f>
        <v/>
      </c>
    </row>
    <row r="45" spans="1:25" x14ac:dyDescent="0.35">
      <c r="A45" t="s">
        <v>27</v>
      </c>
      <c r="B45">
        <v>1</v>
      </c>
      <c r="C45">
        <v>1.694</v>
      </c>
      <c r="D45">
        <v>1.694</v>
      </c>
      <c r="E45">
        <v>1.694</v>
      </c>
      <c r="F45">
        <v>3.68</v>
      </c>
      <c r="I45">
        <f>IF(ISBLANK(LSP_All[[#This Row],[M4+]]),"",ABS(LSP_All[[#This Row],[M4+]]-('statistics-M4'!$I52/365)))</f>
        <v>0.62854011741682969</v>
      </c>
      <c r="J45">
        <f>IF(ISBLANK(LSP_All[[#This Row],[M5+]]),"",ABS(LSP_All[[#This Row],[M5+]]-('statistics-M5'!$I52/365)))</f>
        <v>0.62854011741682969</v>
      </c>
      <c r="K45">
        <f>IF(ISBLANK(LSP_All[[#This Row],[M6+]]),"",ABS(LSP_All[[#This Row],[M6+]]-('statistics-M6'!$I52/365)))</f>
        <v>0.39691840381179277</v>
      </c>
      <c r="L45">
        <f>IF(ISBLANK(LSP_All[[#This Row],[M7+]]),"",ABS(LSP_All[[#This Row],[M7+]]-('statistics-M7'!$I52/365)))</f>
        <v>2.1917808219176216E-3</v>
      </c>
      <c r="M45" t="str">
        <f>IF(ISBLANK(LSP_All[[#This Row],[M8+]]),"",ABS(LSP_All[[#This Row],[M8+]]-('statistics-M8'!$I52/365)))</f>
        <v/>
      </c>
      <c r="O45">
        <f>IF(ISBLANK(LSP_All[[#This Row],[M4+]]),"",ABS(LSP_All[[#This Row],[M4+]]-('statistics-M4'!$F52/365)))</f>
        <v>1.0638630136986302</v>
      </c>
      <c r="P45">
        <f>IF(ISBLANK(LSP_All[[#This Row],[M5+]]),"",ABS(LSP_All[[#This Row],[M5+]]-('statistics-M5'!$F52/365)))</f>
        <v>1.0638630136986302</v>
      </c>
      <c r="Q45">
        <f>IF(ISBLANK(LSP_All[[#This Row],[M6+]]),"",ABS(LSP_All[[#This Row],[M6+]]-('statistics-M6'!$F52/365)))</f>
        <v>1.0392054794520549</v>
      </c>
      <c r="R45">
        <f>IF(ISBLANK(LSP_All[[#This Row],[M7+]]),"",ABS(LSP_All[[#This Row],[M7+]]-('statistics-M7'!$F52/365)))</f>
        <v>3.1512328767123288</v>
      </c>
      <c r="S45" t="str">
        <f>IF(ISBLANK(LSP_All[[#This Row],[M8+]]),"",ABS(LSP_All[[#This Row],[M8+]]-('statistics-M8'!$F52/365)))</f>
        <v/>
      </c>
      <c r="U45">
        <f>IF(ISBLANK(LSP_All[[#This Row],[M4+]]),"",ABS(LSP_All[[#This Row],[M4+]]-('statistics-M4'!$J52/365)))</f>
        <v>0.78304109589041093</v>
      </c>
      <c r="V45">
        <f>IF(ISBLANK(LSP_All[[#This Row],[M5+]]),"",ABS(LSP_All[[#This Row],[M5+]]-('statistics-M5'!$J52/365)))</f>
        <v>0.78304109589041093</v>
      </c>
      <c r="W45">
        <f>IF(ISBLANK(LSP_All[[#This Row],[M6+]]),"",ABS(LSP_All[[#This Row],[M6+]]-('statistics-M6'!$J52/365)))</f>
        <v>0.62961643835616443</v>
      </c>
      <c r="X45">
        <f>IF(ISBLANK(LSP_All[[#This Row],[M7+]]),"",ABS(LSP_All[[#This Row],[M7+]]-('statistics-M7'!$J52/365)))</f>
        <v>0.36219178082191794</v>
      </c>
      <c r="Y45" t="str">
        <f>IF(ISBLANK(LSP_All[[#This Row],[M8+]]),"",ABS(LSP_All[[#This Row],[M8+]]-('statistics-M8'!$J52/365)))</f>
        <v/>
      </c>
    </row>
    <row r="46" spans="1:25" x14ac:dyDescent="0.35">
      <c r="A46" t="s">
        <v>27</v>
      </c>
      <c r="B46">
        <v>2</v>
      </c>
      <c r="C46">
        <v>3.3250000000000002</v>
      </c>
      <c r="I46">
        <f>IF(ISBLANK(LSP_All[[#This Row],[M4+]]),"",ABS(LSP_All[[#This Row],[M4+]]-('statistics-M4'!$I53/365)))</f>
        <v>0.51480213089802174</v>
      </c>
      <c r="J46" t="str">
        <f>IF(ISBLANK(LSP_All[[#This Row],[M5+]]),"",ABS(LSP_All[[#This Row],[M5+]]-('statistics-M5'!$I53/365)))</f>
        <v/>
      </c>
      <c r="K46" t="str">
        <f>IF(ISBLANK(LSP_All[[#This Row],[M6+]]),"",ABS(LSP_All[[#This Row],[M6+]]-('statistics-M6'!$I53/365)))</f>
        <v/>
      </c>
      <c r="L46" t="str">
        <f>IF(ISBLANK(LSP_All[[#This Row],[M7+]]),"",ABS(LSP_All[[#This Row],[M7+]]-('statistics-M7'!$I53/365)))</f>
        <v/>
      </c>
      <c r="M46" t="str">
        <f>IF(ISBLANK(LSP_All[[#This Row],[M8+]]),"",ABS(LSP_All[[#This Row],[M8+]]-('statistics-M8'!$I53/365)))</f>
        <v/>
      </c>
      <c r="O46">
        <f>IF(ISBLANK(LSP_All[[#This Row],[M4+]]),"",ABS(LSP_All[[#This Row],[M4+]]-('statistics-M4'!$F53/365)))</f>
        <v>2.7414383561643838</v>
      </c>
      <c r="P46" t="str">
        <f>IF(ISBLANK(LSP_All[[#This Row],[M5+]]),"",ABS(LSP_All[[#This Row],[M5+]]-('statistics-M5'!$F53/365)))</f>
        <v/>
      </c>
      <c r="Q46" t="str">
        <f>IF(ISBLANK(LSP_All[[#This Row],[M6+]]),"",ABS(LSP_All[[#This Row],[M6+]]-('statistics-M6'!$F53/365)))</f>
        <v/>
      </c>
      <c r="R46" t="str">
        <f>IF(ISBLANK(LSP_All[[#This Row],[M7+]]),"",ABS(LSP_All[[#This Row],[M7+]]-('statistics-M7'!$F53/365)))</f>
        <v/>
      </c>
      <c r="S46" t="str">
        <f>IF(ISBLANK(LSP_All[[#This Row],[M8+]]),"",ABS(LSP_All[[#This Row],[M8+]]-('statistics-M8'!$F53/365)))</f>
        <v/>
      </c>
      <c r="U46">
        <f>IF(ISBLANK(LSP_All[[#This Row],[M4+]]),"",ABS(LSP_All[[#This Row],[M4+]]-('statistics-M4'!$J53/365)))</f>
        <v>0.96472602739726065</v>
      </c>
      <c r="V46" t="str">
        <f>IF(ISBLANK(LSP_All[[#This Row],[M5+]]),"",ABS(LSP_All[[#This Row],[M5+]]-('statistics-M5'!$J53/365)))</f>
        <v/>
      </c>
      <c r="W46" t="str">
        <f>IF(ISBLANK(LSP_All[[#This Row],[M6+]]),"",ABS(LSP_All[[#This Row],[M6+]]-('statistics-M6'!$J53/365)))</f>
        <v/>
      </c>
      <c r="X46" t="str">
        <f>IF(ISBLANK(LSP_All[[#This Row],[M7+]]),"",ABS(LSP_All[[#This Row],[M7+]]-('statistics-M7'!$J53/365)))</f>
        <v/>
      </c>
      <c r="Y46" t="str">
        <f>IF(ISBLANK(LSP_All[[#This Row],[M8+]]),"",ABS(LSP_All[[#This Row],[M8+]]-('statistics-M8'!$J53/365)))</f>
        <v/>
      </c>
    </row>
    <row r="47" spans="1:25" x14ac:dyDescent="0.35">
      <c r="A47" t="s">
        <v>27</v>
      </c>
      <c r="B47">
        <v>3</v>
      </c>
      <c r="C47">
        <v>11.734</v>
      </c>
      <c r="I47">
        <f>IF(ISBLANK(LSP_All[[#This Row],[M4+]]),"",ABS(LSP_All[[#This Row],[M4+]]-('statistics-M4'!$I54/365)))</f>
        <v>4.5025985247629077</v>
      </c>
      <c r="J47" t="str">
        <f>IF(ISBLANK(LSP_All[[#This Row],[M5+]]),"",ABS(LSP_All[[#This Row],[M5+]]-('statistics-M5'!$I54/365)))</f>
        <v/>
      </c>
      <c r="K47" t="str">
        <f>IF(ISBLANK(LSP_All[[#This Row],[M6+]]),"",ABS(LSP_All[[#This Row],[M6+]]-('statistics-M6'!$I54/365)))</f>
        <v/>
      </c>
      <c r="L47" t="str">
        <f>IF(ISBLANK(LSP_All[[#This Row],[M7+]]),"",ABS(LSP_All[[#This Row],[M7+]]-('statistics-M7'!$I54/365)))</f>
        <v/>
      </c>
      <c r="M47" t="str">
        <f>IF(ISBLANK(LSP_All[[#This Row],[M8+]]),"",ABS(LSP_All[[#This Row],[M8+]]-('statistics-M8'!$I54/365)))</f>
        <v/>
      </c>
      <c r="O47">
        <f>IF(ISBLANK(LSP_All[[#This Row],[M4+]]),"",ABS(LSP_All[[#This Row],[M4+]]-('statistics-M4'!$F54/365)))</f>
        <v>11.062767123287671</v>
      </c>
      <c r="P47" t="str">
        <f>IF(ISBLANK(LSP_All[[#This Row],[M5+]]),"",ABS(LSP_All[[#This Row],[M5+]]-('statistics-M5'!$F54/365)))</f>
        <v/>
      </c>
      <c r="Q47" t="str">
        <f>IF(ISBLANK(LSP_All[[#This Row],[M6+]]),"",ABS(LSP_All[[#This Row],[M6+]]-('statistics-M6'!$F54/365)))</f>
        <v/>
      </c>
      <c r="R47" t="str">
        <f>IF(ISBLANK(LSP_All[[#This Row],[M7+]]),"",ABS(LSP_All[[#This Row],[M7+]]-('statistics-M7'!$F54/365)))</f>
        <v/>
      </c>
      <c r="S47" t="str">
        <f>IF(ISBLANK(LSP_All[[#This Row],[M8+]]),"",ABS(LSP_All[[#This Row],[M8+]]-('statistics-M8'!$F54/365)))</f>
        <v/>
      </c>
      <c r="U47">
        <f>IF(ISBLANK(LSP_All[[#This Row],[M4+]]),"",ABS(LSP_All[[#This Row],[M4+]]-('statistics-M4'!$J54/365)))</f>
        <v>9.4655068493150694</v>
      </c>
      <c r="V47" t="str">
        <f>IF(ISBLANK(LSP_All[[#This Row],[M5+]]),"",ABS(LSP_All[[#This Row],[M5+]]-('statistics-M5'!$J54/365)))</f>
        <v/>
      </c>
      <c r="W47" t="str">
        <f>IF(ISBLANK(LSP_All[[#This Row],[M6+]]),"",ABS(LSP_All[[#This Row],[M6+]]-('statistics-M6'!$J54/365)))</f>
        <v/>
      </c>
      <c r="X47" t="str">
        <f>IF(ISBLANK(LSP_All[[#This Row],[M7+]]),"",ABS(LSP_All[[#This Row],[M7+]]-('statistics-M7'!$J54/365)))</f>
        <v/>
      </c>
      <c r="Y47" t="str">
        <f>IF(ISBLANK(LSP_All[[#This Row],[M8+]]),"",ABS(LSP_All[[#This Row],[M8+]]-('statistics-M8'!$J54/365)))</f>
        <v/>
      </c>
    </row>
    <row r="48" spans="1:25" x14ac:dyDescent="0.35">
      <c r="A48" t="s">
        <v>28</v>
      </c>
      <c r="B48">
        <v>1</v>
      </c>
      <c r="C48">
        <v>1.754</v>
      </c>
      <c r="D48">
        <v>1.754</v>
      </c>
      <c r="E48">
        <v>3.1059999999999999</v>
      </c>
      <c r="I48">
        <f>IF(ISBLANK(LSP_All[[#This Row],[M4+]]),"",ABS(LSP_All[[#This Row],[M4+]]-('statistics-M4'!$I55/365)))</f>
        <v>0.23352230417983844</v>
      </c>
      <c r="J48">
        <f>IF(ISBLANK(LSP_All[[#This Row],[M5+]]),"",ABS(LSP_All[[#This Row],[M5+]]-('statistics-M5'!$I55/365)))</f>
        <v>0.23352230417983844</v>
      </c>
      <c r="K48">
        <f>IF(ISBLANK(LSP_All[[#This Row],[M6+]]),"",ABS(LSP_All[[#This Row],[M6+]]-('statistics-M6'!$I55/365)))</f>
        <v>0.30915068493150688</v>
      </c>
      <c r="L48" t="str">
        <f>IF(ISBLANK(LSP_All[[#This Row],[M7+]]),"",ABS(LSP_All[[#This Row],[M7+]]-('statistics-M7'!$I55/365)))</f>
        <v/>
      </c>
      <c r="M48" t="str">
        <f>IF(ISBLANK(LSP_All[[#This Row],[M8+]]),"",ABS(LSP_All[[#This Row],[M8+]]-('statistics-M8'!$I55/365)))</f>
        <v/>
      </c>
      <c r="O48">
        <f>IF(ISBLANK(LSP_All[[#This Row],[M4+]]),"",ABS(LSP_All[[#This Row],[M4+]]-('statistics-M4'!$F55/365)))</f>
        <v>0.83893150684931506</v>
      </c>
      <c r="P48">
        <f>IF(ISBLANK(LSP_All[[#This Row],[M5+]]),"",ABS(LSP_All[[#This Row],[M5+]]-('statistics-M5'!$F55/365)))</f>
        <v>0.83893150684931506</v>
      </c>
      <c r="Q48">
        <f>IF(ISBLANK(LSP_All[[#This Row],[M6+]]),"",ABS(LSP_All[[#This Row],[M6+]]-('statistics-M6'!$F55/365)))</f>
        <v>2.5964109589041096</v>
      </c>
      <c r="R48" t="str">
        <f>IF(ISBLANK(LSP_All[[#This Row],[M7+]]),"",ABS(LSP_All[[#This Row],[M7+]]-('statistics-M7'!$F55/365)))</f>
        <v/>
      </c>
      <c r="S48" t="str">
        <f>IF(ISBLANK(LSP_All[[#This Row],[M8+]]),"",ABS(LSP_All[[#This Row],[M8+]]-('statistics-M8'!$F55/365)))</f>
        <v/>
      </c>
      <c r="U48">
        <f>IF(ISBLANK(LSP_All[[#This Row],[M4+]]),"",ABS(LSP_All[[#This Row],[M4+]]-('statistics-M4'!$J55/365)))</f>
        <v>0.82797260273972606</v>
      </c>
      <c r="V48">
        <f>IF(ISBLANK(LSP_All[[#This Row],[M5+]]),"",ABS(LSP_All[[#This Row],[M5+]]-('statistics-M5'!$J55/365)))</f>
        <v>0.82797260273972606</v>
      </c>
      <c r="W48">
        <f>IF(ISBLANK(LSP_All[[#This Row],[M6+]]),"",ABS(LSP_All[[#This Row],[M6+]]-('statistics-M6'!$J55/365)))</f>
        <v>1.4744931506849315</v>
      </c>
      <c r="X48" t="str">
        <f>IF(ISBLANK(LSP_All[[#This Row],[M7+]]),"",ABS(LSP_All[[#This Row],[M7+]]-('statistics-M7'!$J55/365)))</f>
        <v/>
      </c>
      <c r="Y48" t="str">
        <f>IF(ISBLANK(LSP_All[[#This Row],[M8+]]),"",ABS(LSP_All[[#This Row],[M8+]]-('statistics-M8'!$J55/365)))</f>
        <v/>
      </c>
    </row>
    <row r="49" spans="1:25" x14ac:dyDescent="0.35">
      <c r="A49" t="s">
        <v>28</v>
      </c>
      <c r="B49">
        <v>2</v>
      </c>
      <c r="C49">
        <v>3.5630000000000002</v>
      </c>
      <c r="D49">
        <v>4.9889999999999999</v>
      </c>
      <c r="I49">
        <f>IF(ISBLANK(LSP_All[[#This Row],[M4+]]),"",ABS(LSP_All[[#This Row],[M4+]]-('statistics-M4'!$I56/365)))</f>
        <v>1.2570250655785489</v>
      </c>
      <c r="J49">
        <f>IF(ISBLANK(LSP_All[[#This Row],[M5+]]),"",ABS(LSP_All[[#This Row],[M5+]]-('statistics-M5'!$I56/365)))</f>
        <v>1.1374344422700582</v>
      </c>
      <c r="K49" t="str">
        <f>IF(ISBLANK(LSP_All[[#This Row],[M6+]]),"",ABS(LSP_All[[#This Row],[M6+]]-('statistics-M6'!$I56/365)))</f>
        <v/>
      </c>
      <c r="L49" t="str">
        <f>IF(ISBLANK(LSP_All[[#This Row],[M7+]]),"",ABS(LSP_All[[#This Row],[M7+]]-('statistics-M7'!$I56/365)))</f>
        <v/>
      </c>
      <c r="M49" t="str">
        <f>IF(ISBLANK(LSP_All[[#This Row],[M8+]]),"",ABS(LSP_All[[#This Row],[M8+]]-('statistics-M8'!$I56/365)))</f>
        <v/>
      </c>
      <c r="O49">
        <f>IF(ISBLANK(LSP_All[[#This Row],[M4+]]),"",ABS(LSP_All[[#This Row],[M4+]]-('statistics-M4'!$F56/365)))</f>
        <v>2.2588904109589043</v>
      </c>
      <c r="P49">
        <f>IF(ISBLANK(LSP_All[[#This Row],[M5+]]),"",ABS(LSP_All[[#This Row],[M5+]]-('statistics-M5'!$F56/365)))</f>
        <v>4.3616027397260275</v>
      </c>
      <c r="Q49" t="str">
        <f>IF(ISBLANK(LSP_All[[#This Row],[M6+]]),"",ABS(LSP_All[[#This Row],[M6+]]-('statistics-M6'!$F56/365)))</f>
        <v/>
      </c>
      <c r="R49" t="str">
        <f>IF(ISBLANK(LSP_All[[#This Row],[M7+]]),"",ABS(LSP_All[[#This Row],[M7+]]-('statistics-M7'!$F56/365)))</f>
        <v/>
      </c>
      <c r="S49" t="str">
        <f>IF(ISBLANK(LSP_All[[#This Row],[M8+]]),"",ABS(LSP_All[[#This Row],[M8+]]-('statistics-M8'!$F56/365)))</f>
        <v/>
      </c>
      <c r="U49">
        <f>IF(ISBLANK(LSP_All[[#This Row],[M4+]]),"",ABS(LSP_All[[#This Row],[M4+]]-('statistics-M4'!$J56/365)))</f>
        <v>2.5684794520547944</v>
      </c>
      <c r="V49">
        <f>IF(ISBLANK(LSP_All[[#This Row],[M5+]]),"",ABS(LSP_All[[#This Row],[M5+]]-('statistics-M5'!$J56/365)))</f>
        <v>2.4972191780821915</v>
      </c>
      <c r="W49" t="str">
        <f>IF(ISBLANK(LSP_All[[#This Row],[M6+]]),"",ABS(LSP_All[[#This Row],[M6+]]-('statistics-M6'!$J56/365)))</f>
        <v/>
      </c>
      <c r="X49" t="str">
        <f>IF(ISBLANK(LSP_All[[#This Row],[M7+]]),"",ABS(LSP_All[[#This Row],[M7+]]-('statistics-M7'!$J56/365)))</f>
        <v/>
      </c>
      <c r="Y49" t="str">
        <f>IF(ISBLANK(LSP_All[[#This Row],[M8+]]),"",ABS(LSP_All[[#This Row],[M8+]]-('statistics-M8'!$J56/365)))</f>
        <v/>
      </c>
    </row>
    <row r="50" spans="1:25" x14ac:dyDescent="0.35">
      <c r="A50" t="s">
        <v>28</v>
      </c>
      <c r="B50">
        <v>3</v>
      </c>
      <c r="C50">
        <v>4.5529999999999999</v>
      </c>
      <c r="I50">
        <f>IF(ISBLANK(LSP_All[[#This Row],[M4+]]),"",ABS(LSP_All[[#This Row],[M4+]]-('statistics-M4'!$I57/365)))</f>
        <v>1.0363659491193733</v>
      </c>
      <c r="J50" t="str">
        <f>IF(ISBLANK(LSP_All[[#This Row],[M5+]]),"",ABS(LSP_All[[#This Row],[M5+]]-('statistics-M5'!$I57/365)))</f>
        <v/>
      </c>
      <c r="K50" t="str">
        <f>IF(ISBLANK(LSP_All[[#This Row],[M6+]]),"",ABS(LSP_All[[#This Row],[M6+]]-('statistics-M6'!$I57/365)))</f>
        <v/>
      </c>
      <c r="L50" t="str">
        <f>IF(ISBLANK(LSP_All[[#This Row],[M7+]]),"",ABS(LSP_All[[#This Row],[M7+]]-('statistics-M7'!$I57/365)))</f>
        <v/>
      </c>
      <c r="M50" t="str">
        <f>IF(ISBLANK(LSP_All[[#This Row],[M8+]]),"",ABS(LSP_All[[#This Row],[M8+]]-('statistics-M8'!$I57/365)))</f>
        <v/>
      </c>
      <c r="O50">
        <f>IF(ISBLANK(LSP_All[[#This Row],[M4+]]),"",ABS(LSP_All[[#This Row],[M4+]]-('statistics-M4'!$F57/365)))</f>
        <v>3.8187534246575341</v>
      </c>
      <c r="P50" t="str">
        <f>IF(ISBLANK(LSP_All[[#This Row],[M5+]]),"",ABS(LSP_All[[#This Row],[M5+]]-('statistics-M5'!$F57/365)))</f>
        <v/>
      </c>
      <c r="Q50" t="str">
        <f>IF(ISBLANK(LSP_All[[#This Row],[M6+]]),"",ABS(LSP_All[[#This Row],[M6+]]-('statistics-M6'!$F57/365)))</f>
        <v/>
      </c>
      <c r="R50" t="str">
        <f>IF(ISBLANK(LSP_All[[#This Row],[M7+]]),"",ABS(LSP_All[[#This Row],[M7+]]-('statistics-M7'!$F57/365)))</f>
        <v/>
      </c>
      <c r="S50" t="str">
        <f>IF(ISBLANK(LSP_All[[#This Row],[M8+]]),"",ABS(LSP_All[[#This Row],[M8+]]-('statistics-M8'!$F57/365)))</f>
        <v/>
      </c>
      <c r="U50">
        <f>IF(ISBLANK(LSP_All[[#This Row],[M4+]]),"",ABS(LSP_All[[#This Row],[M4+]]-('statistics-M4'!$J57/365)))</f>
        <v>3.3132739726027394</v>
      </c>
      <c r="V50" t="str">
        <f>IF(ISBLANK(LSP_All[[#This Row],[M5+]]),"",ABS(LSP_All[[#This Row],[M5+]]-('statistics-M5'!$J57/365)))</f>
        <v/>
      </c>
      <c r="W50" t="str">
        <f>IF(ISBLANK(LSP_All[[#This Row],[M6+]]),"",ABS(LSP_All[[#This Row],[M6+]]-('statistics-M6'!$J57/365)))</f>
        <v/>
      </c>
      <c r="X50" t="str">
        <f>IF(ISBLANK(LSP_All[[#This Row],[M7+]]),"",ABS(LSP_All[[#This Row],[M7+]]-('statistics-M7'!$J57/365)))</f>
        <v/>
      </c>
      <c r="Y50" t="str">
        <f>IF(ISBLANK(LSP_All[[#This Row],[M8+]]),"",ABS(LSP_All[[#This Row],[M8+]]-('statistics-M8'!$J57/365)))</f>
        <v/>
      </c>
    </row>
    <row r="51" spans="1:25" x14ac:dyDescent="0.35">
      <c r="A51" t="s">
        <v>29</v>
      </c>
      <c r="B51">
        <v>1</v>
      </c>
      <c r="C51">
        <v>0.90200000000000002</v>
      </c>
      <c r="D51">
        <v>0.90200000000000002</v>
      </c>
      <c r="E51">
        <v>0.90200000000000002</v>
      </c>
      <c r="F51">
        <v>1.4550000000000001</v>
      </c>
      <c r="G51">
        <v>11.978</v>
      </c>
      <c r="I51">
        <f>IF(ISBLANK(LSP_All[[#This Row],[M4+]]),"",ABS(LSP_All[[#This Row],[M4+]]-('statistics-M4'!$I58/365)))</f>
        <v>1.8639524858702905E-2</v>
      </c>
      <c r="J51">
        <f>IF(ISBLANK(LSP_All[[#This Row],[M5+]]),"",ABS(LSP_All[[#This Row],[M5+]]-('statistics-M5'!$I58/365)))</f>
        <v>1.8639524858702905E-2</v>
      </c>
      <c r="K51">
        <f>IF(ISBLANK(LSP_All[[#This Row],[M6+]]),"",ABS(LSP_All[[#This Row],[M6+]]-('statistics-M6'!$I58/365)))</f>
        <v>1.8639524858702905E-2</v>
      </c>
      <c r="L51">
        <f>IF(ISBLANK(LSP_All[[#This Row],[M7+]]),"",ABS(LSP_All[[#This Row],[M7+]]-('statistics-M7'!$I58/365)))</f>
        <v>1.9539227895392308E-2</v>
      </c>
      <c r="M51">
        <f>IF(ISBLANK(LSP_All[[#This Row],[M8+]]),"",ABS(LSP_All[[#This Row],[M8+]]-('statistics-M8'!$I58/365)))</f>
        <v>0.78287062404870689</v>
      </c>
      <c r="O51">
        <f>IF(ISBLANK(LSP_All[[#This Row],[M4+]]),"",ABS(LSP_All[[#This Row],[M4+]]-('statistics-M4'!$F58/365)))</f>
        <v>0.3869315068493151</v>
      </c>
      <c r="P51">
        <f>IF(ISBLANK(LSP_All[[#This Row],[M5+]]),"",ABS(LSP_All[[#This Row],[M5+]]-('statistics-M5'!$F58/365)))</f>
        <v>0.3869315068493151</v>
      </c>
      <c r="Q51">
        <f>IF(ISBLANK(LSP_All[[#This Row],[M6+]]),"",ABS(LSP_All[[#This Row],[M6+]]-('statistics-M6'!$F58/365)))</f>
        <v>0.3869315068493151</v>
      </c>
      <c r="R51">
        <f>IF(ISBLANK(LSP_All[[#This Row],[M7+]]),"",ABS(LSP_All[[#This Row],[M7+]]-('statistics-M7'!$F58/365)))</f>
        <v>0.93993150684931515</v>
      </c>
      <c r="S51">
        <f>IF(ISBLANK(LSP_All[[#This Row],[M8+]]),"",ABS(LSP_All[[#This Row],[M8+]]-('statistics-M8'!$F58/365)))</f>
        <v>10.753342465753425</v>
      </c>
      <c r="U51">
        <f>IF(ISBLANK(LSP_All[[#This Row],[M4+]]),"",ABS(LSP_All[[#This Row],[M4+]]-('statistics-M4'!$J58/365)))</f>
        <v>7.1863013698630129E-2</v>
      </c>
      <c r="V51">
        <f>IF(ISBLANK(LSP_All[[#This Row],[M5+]]),"",ABS(LSP_All[[#This Row],[M5+]]-('statistics-M5'!$J58/365)))</f>
        <v>7.1863013698630129E-2</v>
      </c>
      <c r="W51">
        <f>IF(ISBLANK(LSP_All[[#This Row],[M6+]]),"",ABS(LSP_All[[#This Row],[M6+]]-('statistics-M6'!$J58/365)))</f>
        <v>7.1863013698630129E-2</v>
      </c>
      <c r="X51">
        <f>IF(ISBLANK(LSP_All[[#This Row],[M7+]]),"",ABS(LSP_All[[#This Row],[M7+]]-('statistics-M7'!$J58/365)))</f>
        <v>0.28102739726027415</v>
      </c>
      <c r="Y51">
        <f>IF(ISBLANK(LSP_All[[#This Row],[M8+]]),"",ABS(LSP_All[[#This Row],[M8+]]-('statistics-M8'!$J58/365)))</f>
        <v>3.1149863013698624</v>
      </c>
    </row>
    <row r="52" spans="1:25" x14ac:dyDescent="0.35">
      <c r="A52" t="s">
        <v>29</v>
      </c>
      <c r="B52">
        <v>2</v>
      </c>
      <c r="C52">
        <v>3.6760000000000002</v>
      </c>
      <c r="D52">
        <v>4.665</v>
      </c>
      <c r="I52">
        <f>IF(ISBLANK(LSP_All[[#This Row],[M4+]]),"",ABS(LSP_All[[#This Row],[M4+]]-('statistics-M4'!$I59/365)))</f>
        <v>1.3643235485975214</v>
      </c>
      <c r="J52">
        <f>IF(ISBLANK(LSP_All[[#This Row],[M5+]]),"",ABS(LSP_All[[#This Row],[M5+]]-('statistics-M5'!$I59/365)))</f>
        <v>1.5330512593901897</v>
      </c>
      <c r="K52" t="str">
        <f>IF(ISBLANK(LSP_All[[#This Row],[M6+]]),"",ABS(LSP_All[[#This Row],[M6+]]-('statistics-M6'!$I59/365)))</f>
        <v/>
      </c>
      <c r="L52" t="str">
        <f>IF(ISBLANK(LSP_All[[#This Row],[M7+]]),"",ABS(LSP_All[[#This Row],[M7+]]-('statistics-M7'!$I59/365)))</f>
        <v/>
      </c>
      <c r="M52" t="str">
        <f>IF(ISBLANK(LSP_All[[#This Row],[M8+]]),"",ABS(LSP_All[[#This Row],[M8+]]-('statistics-M8'!$I59/365)))</f>
        <v/>
      </c>
      <c r="O52">
        <f>IF(ISBLANK(LSP_All[[#This Row],[M4+]]),"",ABS(LSP_All[[#This Row],[M4+]]-('statistics-M4'!$F59/365)))</f>
        <v>3.1390136986301371</v>
      </c>
      <c r="P52">
        <f>IF(ISBLANK(LSP_All[[#This Row],[M5+]]),"",ABS(LSP_All[[#This Row],[M5+]]-('statistics-M5'!$F59/365)))</f>
        <v>4.128013698630137</v>
      </c>
      <c r="Q52" t="str">
        <f>IF(ISBLANK(LSP_All[[#This Row],[M6+]]),"",ABS(LSP_All[[#This Row],[M6+]]-('statistics-M6'!$F59/365)))</f>
        <v/>
      </c>
      <c r="R52" t="str">
        <f>IF(ISBLANK(LSP_All[[#This Row],[M7+]]),"",ABS(LSP_All[[#This Row],[M7+]]-('statistics-M7'!$F59/365)))</f>
        <v/>
      </c>
      <c r="S52" t="str">
        <f>IF(ISBLANK(LSP_All[[#This Row],[M8+]]),"",ABS(LSP_All[[#This Row],[M8+]]-('statistics-M8'!$F59/365)))</f>
        <v/>
      </c>
      <c r="U52">
        <f>IF(ISBLANK(LSP_All[[#This Row],[M4+]]),"",ABS(LSP_All[[#This Row],[M4+]]-('statistics-M4'!$J59/365)))</f>
        <v>2.4773698630136991</v>
      </c>
      <c r="V52">
        <f>IF(ISBLANK(LSP_All[[#This Row],[M5+]]),"",ABS(LSP_All[[#This Row],[M5+]]-('statistics-M5'!$J59/365)))</f>
        <v>3.0156849315068492</v>
      </c>
      <c r="W52" t="str">
        <f>IF(ISBLANK(LSP_All[[#This Row],[M6+]]),"",ABS(LSP_All[[#This Row],[M6+]]-('statistics-M6'!$J59/365)))</f>
        <v/>
      </c>
      <c r="X52" t="str">
        <f>IF(ISBLANK(LSP_All[[#This Row],[M7+]]),"",ABS(LSP_All[[#This Row],[M7+]]-('statistics-M7'!$J59/365)))</f>
        <v/>
      </c>
      <c r="Y52" t="str">
        <f>IF(ISBLANK(LSP_All[[#This Row],[M8+]]),"",ABS(LSP_All[[#This Row],[M8+]]-('statistics-M8'!$J59/365)))</f>
        <v/>
      </c>
    </row>
    <row r="53" spans="1:25" x14ac:dyDescent="0.35">
      <c r="A53" t="s">
        <v>29</v>
      </c>
      <c r="B53">
        <v>3</v>
      </c>
      <c r="C53">
        <v>1.75</v>
      </c>
      <c r="D53">
        <v>1.875</v>
      </c>
      <c r="E53">
        <v>14.221</v>
      </c>
      <c r="I53">
        <f>IF(ISBLANK(LSP_All[[#This Row],[M4+]]),"",ABS(LSP_All[[#This Row],[M4+]]-('statistics-M4'!$I60/365)))</f>
        <v>0.34947814742335281</v>
      </c>
      <c r="J53">
        <f>IF(ISBLANK(LSP_All[[#This Row],[M5+]]),"",ABS(LSP_All[[#This Row],[M5+]]-('statistics-M5'!$I60/365)))</f>
        <v>2.6187214611872012E-2</v>
      </c>
      <c r="K53">
        <f>IF(ISBLANK(LSP_All[[#This Row],[M6+]]),"",ABS(LSP_All[[#This Row],[M6+]]-('statistics-M6'!$I60/365)))</f>
        <v>7.8837092846270922</v>
      </c>
      <c r="L53" t="str">
        <f>IF(ISBLANK(LSP_All[[#This Row],[M7+]]),"",ABS(LSP_All[[#This Row],[M7+]]-('statistics-M7'!$I60/365)))</f>
        <v/>
      </c>
      <c r="M53" t="str">
        <f>IF(ISBLANK(LSP_All[[#This Row],[M8+]]),"",ABS(LSP_All[[#This Row],[M8+]]-('statistics-M8'!$I60/365)))</f>
        <v/>
      </c>
      <c r="O53">
        <f>IF(ISBLANK(LSP_All[[#This Row],[M4+]]),"",ABS(LSP_All[[#This Row],[M4+]]-('statistics-M4'!$F60/365)))</f>
        <v>0.94452054794520546</v>
      </c>
      <c r="P53">
        <f>IF(ISBLANK(LSP_All[[#This Row],[M5+]]),"",ABS(LSP_All[[#This Row],[M5+]]-('statistics-M5'!$F60/365)))</f>
        <v>1.3078767123287671</v>
      </c>
      <c r="Q53">
        <f>IF(ISBLANK(LSP_All[[#This Row],[M6+]]),"",ABS(LSP_All[[#This Row],[M6+]]-('statistics-M6'!$F60/365)))</f>
        <v>13.415520547945206</v>
      </c>
      <c r="R53" t="str">
        <f>IF(ISBLANK(LSP_All[[#This Row],[M7+]]),"",ABS(LSP_All[[#This Row],[M7+]]-('statistics-M7'!$F60/365)))</f>
        <v/>
      </c>
      <c r="S53" t="str">
        <f>IF(ISBLANK(LSP_All[[#This Row],[M8+]]),"",ABS(LSP_All[[#This Row],[M8+]]-('statistics-M8'!$F60/365)))</f>
        <v/>
      </c>
      <c r="U53">
        <f>IF(ISBLANK(LSP_All[[#This Row],[M4+]]),"",ABS(LSP_All[[#This Row],[M4+]]-('statistics-M4'!$J60/365)))</f>
        <v>0.70342465753424666</v>
      </c>
      <c r="V53">
        <f>IF(ISBLANK(LSP_All[[#This Row],[M5+]]),"",ABS(LSP_All[[#This Row],[M5+]]-('statistics-M5'!$J60/365)))</f>
        <v>0.60787671232876717</v>
      </c>
      <c r="W53">
        <f>IF(ISBLANK(LSP_All[[#This Row],[M6+]]),"",ABS(LSP_All[[#This Row],[M6+]]-('statistics-M6'!$J60/365)))</f>
        <v>11.275794520547946</v>
      </c>
      <c r="X53" t="str">
        <f>IF(ISBLANK(LSP_All[[#This Row],[M7+]]),"",ABS(LSP_All[[#This Row],[M7+]]-('statistics-M7'!$J60/365)))</f>
        <v/>
      </c>
      <c r="Y53" t="str">
        <f>IF(ISBLANK(LSP_All[[#This Row],[M8+]]),"",ABS(LSP_All[[#This Row],[M8+]]-('statistics-M8'!$J60/365)))</f>
        <v/>
      </c>
    </row>
    <row r="54" spans="1:25" x14ac:dyDescent="0.35">
      <c r="A54" t="s">
        <v>30</v>
      </c>
      <c r="B54">
        <v>1</v>
      </c>
      <c r="C54">
        <v>1.4950000000000001</v>
      </c>
      <c r="D54">
        <v>1.4950000000000001</v>
      </c>
      <c r="E54">
        <v>1.976</v>
      </c>
      <c r="I54">
        <f>IF(ISBLANK(LSP_All[[#This Row],[M4+]]),"",ABS(LSP_All[[#This Row],[M4+]]-('statistics-M4'!$I61/365)))</f>
        <v>0.24938497387374681</v>
      </c>
      <c r="J54">
        <f>IF(ISBLANK(LSP_All[[#This Row],[M5+]]),"",ABS(LSP_All[[#This Row],[M5+]]-('statistics-M5'!$I61/365)))</f>
        <v>0.24938497387374681</v>
      </c>
      <c r="K54">
        <f>IF(ISBLANK(LSP_All[[#This Row],[M6+]]),"",ABS(LSP_All[[#This Row],[M6+]]-('statistics-M6'!$I61/365)))</f>
        <v>9.8559931506849274E-2</v>
      </c>
      <c r="L54" t="str">
        <f>IF(ISBLANK(LSP_All[[#This Row],[M7+]]),"",ABS(LSP_All[[#This Row],[M7+]]-('statistics-M7'!$I61/365)))</f>
        <v/>
      </c>
      <c r="M54" t="str">
        <f>IF(ISBLANK(LSP_All[[#This Row],[M8+]]),"",ABS(LSP_All[[#This Row],[M8+]]-('statistics-M8'!$I61/365)))</f>
        <v/>
      </c>
      <c r="O54">
        <f>IF(ISBLANK(LSP_All[[#This Row],[M4+]]),"",ABS(LSP_All[[#This Row],[M4+]]-('statistics-M4'!$F61/365)))</f>
        <v>0.98815068493150693</v>
      </c>
      <c r="P54">
        <f>IF(ISBLANK(LSP_All[[#This Row],[M5+]]),"",ABS(LSP_All[[#This Row],[M5+]]-('statistics-M5'!$F61/365)))</f>
        <v>0.98815068493150693</v>
      </c>
      <c r="Q54">
        <f>IF(ISBLANK(LSP_All[[#This Row],[M6+]]),"",ABS(LSP_All[[#This Row],[M6+]]-('statistics-M6'!$F61/365)))</f>
        <v>0.20613698630136978</v>
      </c>
      <c r="R54" t="str">
        <f>IF(ISBLANK(LSP_All[[#This Row],[M7+]]),"",ABS(LSP_All[[#This Row],[M7+]]-('statistics-M7'!$F61/365)))</f>
        <v/>
      </c>
      <c r="S54" t="str">
        <f>IF(ISBLANK(LSP_All[[#This Row],[M8+]]),"",ABS(LSP_All[[#This Row],[M8+]]-('statistics-M8'!$F61/365)))</f>
        <v/>
      </c>
      <c r="U54">
        <f>IF(ISBLANK(LSP_All[[#This Row],[M4+]]),"",ABS(LSP_All[[#This Row],[M4+]]-('statistics-M4'!$J61/365)))</f>
        <v>0.68952054794520556</v>
      </c>
      <c r="V54">
        <f>IF(ISBLANK(LSP_All[[#This Row],[M5+]]),"",ABS(LSP_All[[#This Row],[M5+]]-('statistics-M5'!$J61/365)))</f>
        <v>0.68952054794520556</v>
      </c>
      <c r="W54">
        <f>IF(ISBLANK(LSP_All[[#This Row],[M6+]]),"",ABS(LSP_All[[#This Row],[M6+]]-('statistics-M6'!$J61/365)))</f>
        <v>0.68284931506849311</v>
      </c>
      <c r="X54" t="str">
        <f>IF(ISBLANK(LSP_All[[#This Row],[M7+]]),"",ABS(LSP_All[[#This Row],[M7+]]-('statistics-M7'!$J61/365)))</f>
        <v/>
      </c>
      <c r="Y54" t="str">
        <f>IF(ISBLANK(LSP_All[[#This Row],[M8+]]),"",ABS(LSP_All[[#This Row],[M8+]]-('statistics-M8'!$J61/365)))</f>
        <v/>
      </c>
    </row>
    <row r="55" spans="1:25" x14ac:dyDescent="0.35">
      <c r="A55" t="s">
        <v>31</v>
      </c>
      <c r="B55">
        <v>1</v>
      </c>
      <c r="C55">
        <v>2.4089999999999998</v>
      </c>
      <c r="D55">
        <v>2.4089999999999998</v>
      </c>
      <c r="E55">
        <v>3.4340000000000002</v>
      </c>
      <c r="I55">
        <f>IF(ISBLANK(LSP_All[[#This Row],[M4+]]),"",ABS(LSP_All[[#This Row],[M4+]]-('statistics-M4'!$I64/365)))</f>
        <v>1.1113182297154898</v>
      </c>
      <c r="J55">
        <f>IF(ISBLANK(LSP_All[[#This Row],[M5+]]),"",ABS(LSP_All[[#This Row],[M5+]]-('statistics-M5'!$I64/365)))</f>
        <v>1.0411732691595703</v>
      </c>
      <c r="K55">
        <f>IF(ISBLANK(LSP_All[[#This Row],[M6+]]),"",ABS(LSP_All[[#This Row],[M6+]]-('statistics-M6'!$I64/365)))</f>
        <v>1.1010914303918446</v>
      </c>
      <c r="L55" t="str">
        <f>IF(ISBLANK(LSP_All[[#This Row],[M7+]]),"",ABS(LSP_All[[#This Row],[M7+]]-('statistics-M7'!$I64/365)))</f>
        <v/>
      </c>
      <c r="M55" t="str">
        <f>IF(ISBLANK(LSP_All[[#This Row],[M8+]]),"",ABS(LSP_All[[#This Row],[M8+]]-('statistics-M8'!$I64/365)))</f>
        <v/>
      </c>
      <c r="O55">
        <f>IF(ISBLANK(LSP_All[[#This Row],[M4+]]),"",ABS(LSP_All[[#This Row],[M4+]]-('statistics-M4'!$F64/365)))</f>
        <v>1.4309178082191778</v>
      </c>
      <c r="P55">
        <f>IF(ISBLANK(LSP_All[[#This Row],[M5+]]),"",ABS(LSP_All[[#This Row],[M5+]]-('statistics-M5'!$F64/365)))</f>
        <v>1.6720136986301368</v>
      </c>
      <c r="Q55">
        <f>IF(ISBLANK(LSP_All[[#This Row],[M6+]]),"",ABS(LSP_All[[#This Row],[M6+]]-('statistics-M6'!$F64/365)))</f>
        <v>2.4668767123287672</v>
      </c>
      <c r="R55" t="str">
        <f>IF(ISBLANK(LSP_All[[#This Row],[M7+]]),"",ABS(LSP_All[[#This Row],[M7+]]-('statistics-M7'!$F64/365)))</f>
        <v/>
      </c>
      <c r="S55" t="str">
        <f>IF(ISBLANK(LSP_All[[#This Row],[M8+]]),"",ABS(LSP_All[[#This Row],[M8+]]-('statistics-M8'!$F64/365)))</f>
        <v/>
      </c>
      <c r="U55">
        <f>IF(ISBLANK(LSP_All[[#This Row],[M4+]]),"",ABS(LSP_All[[#This Row],[M4+]]-('statistics-M4'!$J64/365)))</f>
        <v>1.4322876712328765</v>
      </c>
      <c r="V55">
        <f>IF(ISBLANK(LSP_All[[#This Row],[M5+]]),"",ABS(LSP_All[[#This Row],[M5+]]-('statistics-M5'!$J64/365)))</f>
        <v>1.4226986301369862</v>
      </c>
      <c r="W55">
        <f>IF(ISBLANK(LSP_All[[#This Row],[M6+]]),"",ABS(LSP_All[[#This Row],[M6+]]-('statistics-M6'!$J64/365)))</f>
        <v>1.8668767123287673</v>
      </c>
      <c r="X55" t="str">
        <f>IF(ISBLANK(LSP_All[[#This Row],[M7+]]),"",ABS(LSP_All[[#This Row],[M7+]]-('statistics-M7'!$J64/365)))</f>
        <v/>
      </c>
      <c r="Y55" t="str">
        <f>IF(ISBLANK(LSP_All[[#This Row],[M8+]]),"",ABS(LSP_All[[#This Row],[M8+]]-('statistics-M8'!$J64/365)))</f>
        <v/>
      </c>
    </row>
    <row r="56" spans="1:25" x14ac:dyDescent="0.35">
      <c r="A56" t="s">
        <v>31</v>
      </c>
      <c r="B56">
        <v>2</v>
      </c>
      <c r="C56">
        <v>1.907</v>
      </c>
      <c r="D56">
        <v>2.2949999999999999</v>
      </c>
      <c r="I56">
        <f>IF(ISBLANK(LSP_All[[#This Row],[M4+]]),"",ABS(LSP_All[[#This Row],[M4+]]-('statistics-M4'!$I65/365)))</f>
        <v>0.21761643835616451</v>
      </c>
      <c r="J56">
        <f>IF(ISBLANK(LSP_All[[#This Row],[M5+]]),"",ABS(LSP_All[[#This Row],[M5+]]-('statistics-M5'!$I65/365)))</f>
        <v>0.28211745846691905</v>
      </c>
      <c r="K56" t="str">
        <f>IF(ISBLANK(LSP_All[[#This Row],[M6+]]),"",ABS(LSP_All[[#This Row],[M6+]]-('statistics-M6'!$I65/365)))</f>
        <v/>
      </c>
      <c r="L56" t="str">
        <f>IF(ISBLANK(LSP_All[[#This Row],[M7+]]),"",ABS(LSP_All[[#This Row],[M7+]]-('statistics-M7'!$I65/365)))</f>
        <v/>
      </c>
      <c r="M56" t="str">
        <f>IF(ISBLANK(LSP_All[[#This Row],[M8+]]),"",ABS(LSP_All[[#This Row],[M8+]]-('statistics-M8'!$I65/365)))</f>
        <v/>
      </c>
      <c r="O56">
        <f>IF(ISBLANK(LSP_All[[#This Row],[M4+]]),"",ABS(LSP_All[[#This Row],[M4+]]-('statistics-M4'!$F65/365)))</f>
        <v>1.4083698630136987</v>
      </c>
      <c r="P56">
        <f>IF(ISBLANK(LSP_All[[#This Row],[M5+]]),"",ABS(LSP_All[[#This Row],[M5+]]-('statistics-M5'!$F65/365)))</f>
        <v>1.2676027397260272</v>
      </c>
      <c r="Q56" t="str">
        <f>IF(ISBLANK(LSP_All[[#This Row],[M6+]]),"",ABS(LSP_All[[#This Row],[M6+]]-('statistics-M6'!$F65/365)))</f>
        <v/>
      </c>
      <c r="R56" t="str">
        <f>IF(ISBLANK(LSP_All[[#This Row],[M7+]]),"",ABS(LSP_All[[#This Row],[M7+]]-('statistics-M7'!$F65/365)))</f>
        <v/>
      </c>
      <c r="S56" t="str">
        <f>IF(ISBLANK(LSP_All[[#This Row],[M8+]]),"",ABS(LSP_All[[#This Row],[M8+]]-('statistics-M8'!$F65/365)))</f>
        <v/>
      </c>
      <c r="U56">
        <f>IF(ISBLANK(LSP_All[[#This Row],[M4+]]),"",ABS(LSP_All[[#This Row],[M4+]]-('statistics-M4'!$J65/365)))</f>
        <v>0.88782191780821917</v>
      </c>
      <c r="V56">
        <f>IF(ISBLANK(LSP_All[[#This Row],[M5+]]),"",ABS(LSP_All[[#This Row],[M5+]]-('statistics-M5'!$J65/365)))</f>
        <v>1.1881506849315069</v>
      </c>
      <c r="W56" t="str">
        <f>IF(ISBLANK(LSP_All[[#This Row],[M6+]]),"",ABS(LSP_All[[#This Row],[M6+]]-('statistics-M6'!$J65/365)))</f>
        <v/>
      </c>
      <c r="X56" t="str">
        <f>IF(ISBLANK(LSP_All[[#This Row],[M7+]]),"",ABS(LSP_All[[#This Row],[M7+]]-('statistics-M7'!$J65/365)))</f>
        <v/>
      </c>
      <c r="Y56" t="str">
        <f>IF(ISBLANK(LSP_All[[#This Row],[M8+]]),"",ABS(LSP_All[[#This Row],[M8+]]-('statistics-M8'!$J65/365)))</f>
        <v/>
      </c>
    </row>
    <row r="57" spans="1:25" x14ac:dyDescent="0.35">
      <c r="A57" t="s">
        <v>31</v>
      </c>
      <c r="B57">
        <v>3</v>
      </c>
      <c r="C57">
        <v>2.9849999999999999</v>
      </c>
      <c r="D57">
        <v>2.3410000000000002</v>
      </c>
      <c r="E57">
        <v>4.5129999999999999</v>
      </c>
      <c r="I57">
        <f>IF(ISBLANK(LSP_All[[#This Row],[M4+]]),"",ABS(LSP_All[[#This Row],[M4+]]-('statistics-M4'!$I66/365)))</f>
        <v>1.3124719800747195</v>
      </c>
      <c r="J57">
        <f>IF(ISBLANK(LSP_All[[#This Row],[M5+]]),"",ABS(LSP_All[[#This Row],[M5+]]-('statistics-M5'!$I66/365)))</f>
        <v>0.17779060665362056</v>
      </c>
      <c r="K57">
        <f>IF(ISBLANK(LSP_All[[#This Row],[M6+]]),"",ABS(LSP_All[[#This Row],[M6+]]-('statistics-M6'!$I66/365)))</f>
        <v>8.6972602739725957E-2</v>
      </c>
      <c r="L57" t="str">
        <f>IF(ISBLANK(LSP_All[[#This Row],[M7+]]),"",ABS(LSP_All[[#This Row],[M7+]]-('statistics-M7'!$I66/365)))</f>
        <v/>
      </c>
      <c r="M57" t="str">
        <f>IF(ISBLANK(LSP_All[[#This Row],[M8+]]),"",ABS(LSP_All[[#This Row],[M8+]]-('statistics-M8'!$I66/365)))</f>
        <v/>
      </c>
      <c r="O57">
        <f>IF(ISBLANK(LSP_All[[#This Row],[M4+]]),"",ABS(LSP_All[[#This Row],[M4+]]-('statistics-M4'!$F66/365)))</f>
        <v>2.4452739726027395</v>
      </c>
      <c r="P57">
        <f>IF(ISBLANK(LSP_All[[#This Row],[M5+]]),"",ABS(LSP_All[[#This Row],[M5+]]-('statistics-M5'!$F66/365)))</f>
        <v>1.6012739726027401</v>
      </c>
      <c r="Q57">
        <f>IF(ISBLANK(LSP_All[[#This Row],[M6+]]),"",ABS(LSP_All[[#This Row],[M6+]]-('statistics-M6'!$F66/365)))</f>
        <v>3.7732739726027398</v>
      </c>
      <c r="R57" t="str">
        <f>IF(ISBLANK(LSP_All[[#This Row],[M7+]]),"",ABS(LSP_All[[#This Row],[M7+]]-('statistics-M7'!$F66/365)))</f>
        <v/>
      </c>
      <c r="S57" t="str">
        <f>IF(ISBLANK(LSP_All[[#This Row],[M8+]]),"",ABS(LSP_All[[#This Row],[M8+]]-('statistics-M8'!$F66/365)))</f>
        <v/>
      </c>
      <c r="U57">
        <f>IF(ISBLANK(LSP_All[[#This Row],[M4+]]),"",ABS(LSP_All[[#This Row],[M4+]]-('statistics-M4'!$J66/365)))</f>
        <v>2.0233561643835616</v>
      </c>
      <c r="V57">
        <f>IF(ISBLANK(LSP_All[[#This Row],[M5+]]),"",ABS(LSP_All[[#This Row],[M5+]]-('statistics-M5'!$J66/365)))</f>
        <v>1.1396301369863016</v>
      </c>
      <c r="W57">
        <f>IF(ISBLANK(LSP_All[[#This Row],[M6+]]),"",ABS(LSP_All[[#This Row],[M6+]]-('statistics-M6'!$J66/365)))</f>
        <v>0.4636849315068492</v>
      </c>
      <c r="X57" t="str">
        <f>IF(ISBLANK(LSP_All[[#This Row],[M7+]]),"",ABS(LSP_All[[#This Row],[M7+]]-('statistics-M7'!$J66/365)))</f>
        <v/>
      </c>
      <c r="Y57" t="str">
        <f>IF(ISBLANK(LSP_All[[#This Row],[M8+]]),"",ABS(LSP_All[[#This Row],[M8+]]-('statistics-M8'!$J66/365)))</f>
        <v/>
      </c>
    </row>
    <row r="58" spans="1:25" x14ac:dyDescent="0.35">
      <c r="A58" t="s">
        <v>32</v>
      </c>
      <c r="B58">
        <v>1</v>
      </c>
      <c r="C58">
        <v>1.3380000000000001</v>
      </c>
      <c r="D58">
        <v>1.3380000000000001</v>
      </c>
      <c r="E58">
        <v>1.3380000000000001</v>
      </c>
      <c r="F58">
        <v>3.7610000000000001</v>
      </c>
      <c r="I58">
        <f>IF(ISBLANK(LSP_All[[#This Row],[M4+]]),"",ABS(LSP_All[[#This Row],[M4+]]-('statistics-M4'!$I67/365)))</f>
        <v>0.38194882825767018</v>
      </c>
      <c r="J58">
        <f>IF(ISBLANK(LSP_All[[#This Row],[M5+]]),"",ABS(LSP_All[[#This Row],[M5+]]-('statistics-M5'!$I67/365)))</f>
        <v>0.38194882825767018</v>
      </c>
      <c r="K58">
        <f>IF(ISBLANK(LSP_All[[#This Row],[M6+]]),"",ABS(LSP_All[[#This Row],[M6+]]-('statistics-M6'!$I67/365)))</f>
        <v>0.34926331811263323</v>
      </c>
      <c r="L58">
        <f>IF(ISBLANK(LSP_All[[#This Row],[M7+]]),"",ABS(LSP_All[[#This Row],[M7+]]-('statistics-M7'!$I67/365)))</f>
        <v>0.44053263497179707</v>
      </c>
      <c r="M58" t="str">
        <f>IF(ISBLANK(LSP_All[[#This Row],[M8+]]),"",ABS(LSP_All[[#This Row],[M8+]]-('statistics-M8'!$I67/365)))</f>
        <v/>
      </c>
      <c r="O58">
        <f>IF(ISBLANK(LSP_All[[#This Row],[M4+]]),"",ABS(LSP_All[[#This Row],[M4+]]-('statistics-M4'!$F67/365)))</f>
        <v>0.8256712328767124</v>
      </c>
      <c r="P58">
        <f>IF(ISBLANK(LSP_All[[#This Row],[M5+]]),"",ABS(LSP_All[[#This Row],[M5+]]-('statistics-M5'!$F67/365)))</f>
        <v>0.8256712328767124</v>
      </c>
      <c r="Q58">
        <f>IF(ISBLANK(LSP_All[[#This Row],[M6+]]),"",ABS(LSP_All[[#This Row],[M6+]]-('statistics-M6'!$F67/365)))</f>
        <v>0.8256712328767124</v>
      </c>
      <c r="R58">
        <f>IF(ISBLANK(LSP_All[[#This Row],[M7+]]),"",ABS(LSP_All[[#This Row],[M7+]]-('statistics-M7'!$F67/365)))</f>
        <v>3.2157945205479455</v>
      </c>
      <c r="S58" t="str">
        <f>IF(ISBLANK(LSP_All[[#This Row],[M8+]]),"",ABS(LSP_All[[#This Row],[M8+]]-('statistics-M8'!$F67/365)))</f>
        <v/>
      </c>
      <c r="U58">
        <f>IF(ISBLANK(LSP_All[[#This Row],[M4+]]),"",ABS(LSP_All[[#This Row],[M4+]]-('statistics-M4'!$J67/365)))</f>
        <v>0.44758904109589048</v>
      </c>
      <c r="V58">
        <f>IF(ISBLANK(LSP_All[[#This Row],[M5+]]),"",ABS(LSP_All[[#This Row],[M5+]]-('statistics-M5'!$J67/365)))</f>
        <v>0.44758904109589048</v>
      </c>
      <c r="W58">
        <f>IF(ISBLANK(LSP_All[[#This Row],[M6+]]),"",ABS(LSP_All[[#This Row],[M6+]]-('statistics-M6'!$J67/365)))</f>
        <v>0.45306849315068498</v>
      </c>
      <c r="X58">
        <f>IF(ISBLANK(LSP_All[[#This Row],[M7+]]),"",ABS(LSP_All[[#This Row],[M7+]]-('statistics-M7'!$J67/365)))</f>
        <v>1.1842876712328767</v>
      </c>
      <c r="Y58" t="str">
        <f>IF(ISBLANK(LSP_All[[#This Row],[M8+]]),"",ABS(LSP_All[[#This Row],[M8+]]-('statistics-M8'!$J67/365)))</f>
        <v/>
      </c>
    </row>
    <row r="59" spans="1:25" x14ac:dyDescent="0.35">
      <c r="A59" t="s">
        <v>32</v>
      </c>
      <c r="B59">
        <v>2</v>
      </c>
      <c r="C59">
        <v>2.4910000000000001</v>
      </c>
      <c r="D59">
        <v>2.4460000000000002</v>
      </c>
      <c r="E59">
        <v>6.2549999999999999</v>
      </c>
      <c r="F59">
        <v>16.012</v>
      </c>
      <c r="I59">
        <f>IF(ISBLANK(LSP_All[[#This Row],[M4+]]),"",ABS(LSP_All[[#This Row],[M4+]]-('statistics-M4'!$I68/365)))</f>
        <v>1.2242473811442387</v>
      </c>
      <c r="J59">
        <f>IF(ISBLANK(LSP_All[[#This Row],[M5+]]),"",ABS(LSP_All[[#This Row],[M5+]]-('statistics-M5'!$I68/365)))</f>
        <v>1.1000753424657537</v>
      </c>
      <c r="K59">
        <f>IF(ISBLANK(LSP_All[[#This Row],[M6+]]),"",ABS(LSP_All[[#This Row],[M6+]]-('statistics-M6'!$I68/365)))</f>
        <v>3.3448926323583859</v>
      </c>
      <c r="L59">
        <f>IF(ISBLANK(LSP_All[[#This Row],[M7+]]),"",ABS(LSP_All[[#This Row],[M7+]]-('statistics-M7'!$I68/365)))</f>
        <v>8.9492602739726017</v>
      </c>
      <c r="M59" t="str">
        <f>IF(ISBLANK(LSP_All[[#This Row],[M8+]]),"",ABS(LSP_All[[#This Row],[M8+]]-('statistics-M8'!$I68/365)))</f>
        <v/>
      </c>
      <c r="O59">
        <f>IF(ISBLANK(LSP_All[[#This Row],[M4+]]),"",ABS(LSP_All[[#This Row],[M4+]]-('statistics-M4'!$F68/365)))</f>
        <v>1.8964794520547947</v>
      </c>
      <c r="P59">
        <f>IF(ISBLANK(LSP_All[[#This Row],[M5+]]),"",ABS(LSP_All[[#This Row],[M5+]]-('statistics-M5'!$F68/365)))</f>
        <v>1.6213424657534248</v>
      </c>
      <c r="Q59">
        <f>IF(ISBLANK(LSP_All[[#This Row],[M6+]]),"",ABS(LSP_All[[#This Row],[M6+]]-('statistics-M6'!$F68/365)))</f>
        <v>4.6358219178082187</v>
      </c>
      <c r="R59">
        <f>IF(ISBLANK(LSP_All[[#This Row],[M7+]]),"",ABS(LSP_All[[#This Row],[M7+]]-('statistics-M7'!$F68/365)))</f>
        <v>14.754465753424657</v>
      </c>
      <c r="S59" t="str">
        <f>IF(ISBLANK(LSP_All[[#This Row],[M8+]]),"",ABS(LSP_All[[#This Row],[M8+]]-('statistics-M8'!$F68/365)))</f>
        <v/>
      </c>
      <c r="U59">
        <f>IF(ISBLANK(LSP_All[[#This Row],[M4+]]),"",ABS(LSP_All[[#This Row],[M4+]]-('statistics-M4'!$J68/365)))</f>
        <v>1.6471643835616439</v>
      </c>
      <c r="V59">
        <f>IF(ISBLANK(LSP_All[[#This Row],[M5+]]),"",ABS(LSP_All[[#This Row],[M5+]]-('statistics-M5'!$J68/365)))</f>
        <v>1.5487397260273974</v>
      </c>
      <c r="W59">
        <f>IF(ISBLANK(LSP_All[[#This Row],[M6+]]),"",ABS(LSP_All[[#This Row],[M6+]]-('statistics-M6'!$J68/365)))</f>
        <v>3.6330821917808218</v>
      </c>
      <c r="X59">
        <f>IF(ISBLANK(LSP_All[[#This Row],[M7+]]),"",ABS(LSP_All[[#This Row],[M7+]]-('statistics-M7'!$J68/365)))</f>
        <v>7.9791232876712339</v>
      </c>
      <c r="Y59" t="str">
        <f>IF(ISBLANK(LSP_All[[#This Row],[M8+]]),"",ABS(LSP_All[[#This Row],[M8+]]-('statistics-M8'!$J68/365)))</f>
        <v/>
      </c>
    </row>
    <row r="60" spans="1:25" x14ac:dyDescent="0.35">
      <c r="A60" t="s">
        <v>34</v>
      </c>
      <c r="B60">
        <v>1</v>
      </c>
      <c r="C60">
        <v>3.073</v>
      </c>
      <c r="D60">
        <v>4.532</v>
      </c>
      <c r="I60">
        <f>IF(ISBLANK(LSP_All[[#This Row],[M4+]]),"",ABS(LSP_All[[#This Row],[M4+]]-('statistics-M4'!$I70/365)))</f>
        <v>0.69018036529680371</v>
      </c>
      <c r="J60">
        <f>IF(ISBLANK(LSP_All[[#This Row],[M5+]]),"",ABS(LSP_All[[#This Row],[M5+]]-('statistics-M5'!$I70/365)))</f>
        <v>0.15395890410958923</v>
      </c>
      <c r="K60" t="str">
        <f>IF(ISBLANK(LSP_All[[#This Row],[M6+]]),"",ABS(LSP_All[[#This Row],[M6+]]-('statistics-M6'!$I70/365)))</f>
        <v/>
      </c>
      <c r="L60" t="str">
        <f>IF(ISBLANK(LSP_All[[#This Row],[M7+]]),"",ABS(LSP_All[[#This Row],[M7+]]-('statistics-M7'!$I70/365)))</f>
        <v/>
      </c>
      <c r="M60" t="str">
        <f>IF(ISBLANK(LSP_All[[#This Row],[M8+]]),"",ABS(LSP_All[[#This Row],[M8+]]-('statistics-M8'!$I70/365)))</f>
        <v/>
      </c>
      <c r="O60">
        <f>IF(ISBLANK(LSP_All[[#This Row],[M4+]]),"",ABS(LSP_All[[#This Row],[M4+]]-('statistics-M4'!$F70/365)))</f>
        <v>2.4812191780821919</v>
      </c>
      <c r="P60">
        <f>IF(ISBLANK(LSP_All[[#This Row],[M5+]]),"",ABS(LSP_All[[#This Row],[M5+]]-('statistics-M5'!$F70/365)))</f>
        <v>4.0278904109589044</v>
      </c>
      <c r="Q60" t="str">
        <f>IF(ISBLANK(LSP_All[[#This Row],[M6+]]),"",ABS(LSP_All[[#This Row],[M6+]]-('statistics-M6'!$F70/365)))</f>
        <v/>
      </c>
      <c r="R60" t="str">
        <f>IF(ISBLANK(LSP_All[[#This Row],[M7+]]),"",ABS(LSP_All[[#This Row],[M7+]]-('statistics-M7'!$F70/365)))</f>
        <v/>
      </c>
      <c r="S60" t="str">
        <f>IF(ISBLANK(LSP_All[[#This Row],[M8+]]),"",ABS(LSP_All[[#This Row],[M8+]]-('statistics-M8'!$F70/365)))</f>
        <v/>
      </c>
      <c r="U60">
        <f>IF(ISBLANK(LSP_All[[#This Row],[M4+]]),"",ABS(LSP_All[[#This Row],[M4+]]-('statistics-M4'!$J70/365)))</f>
        <v>2.051082191780822</v>
      </c>
      <c r="V60">
        <f>IF(ISBLANK(LSP_All[[#This Row],[M5+]]),"",ABS(LSP_All[[#This Row],[M5+]]-('statistics-M5'!$J70/365)))</f>
        <v>1.9128219178082193</v>
      </c>
      <c r="W60" t="str">
        <f>IF(ISBLANK(LSP_All[[#This Row],[M6+]]),"",ABS(LSP_All[[#This Row],[M6+]]-('statistics-M6'!$J70/365)))</f>
        <v/>
      </c>
      <c r="X60" t="str">
        <f>IF(ISBLANK(LSP_All[[#This Row],[M7+]]),"",ABS(LSP_All[[#This Row],[M7+]]-('statistics-M7'!$J70/365)))</f>
        <v/>
      </c>
      <c r="Y60" t="str">
        <f>IF(ISBLANK(LSP_All[[#This Row],[M8+]]),"",ABS(LSP_All[[#This Row],[M8+]]-('statistics-M8'!$J70/365)))</f>
        <v/>
      </c>
    </row>
    <row r="61" spans="1:25" x14ac:dyDescent="0.35">
      <c r="A61" t="s">
        <v>34</v>
      </c>
      <c r="B61">
        <v>2</v>
      </c>
      <c r="C61">
        <v>7.306</v>
      </c>
      <c r="D61">
        <v>13.451000000000001</v>
      </c>
      <c r="I61">
        <f>IF(ISBLANK(LSP_All[[#This Row],[M4+]]),"",ABS(LSP_All[[#This Row],[M4+]]-('statistics-M4'!$I71/365)))</f>
        <v>3.2107671232876713</v>
      </c>
      <c r="J61">
        <f>IF(ISBLANK(LSP_All[[#This Row],[M5+]]),"",ABS(LSP_All[[#This Row],[M5+]]-('statistics-M5'!$I71/365)))</f>
        <v>6.1380841487279847</v>
      </c>
      <c r="K61" t="str">
        <f>IF(ISBLANK(LSP_All[[#This Row],[M6+]]),"",ABS(LSP_All[[#This Row],[M6+]]-('statistics-M6'!$I71/365)))</f>
        <v/>
      </c>
      <c r="L61" t="str">
        <f>IF(ISBLANK(LSP_All[[#This Row],[M7+]]),"",ABS(LSP_All[[#This Row],[M7+]]-('statistics-M7'!$I71/365)))</f>
        <v/>
      </c>
      <c r="M61" t="str">
        <f>IF(ISBLANK(LSP_All[[#This Row],[M8+]]),"",ABS(LSP_All[[#This Row],[M8+]]-('statistics-M8'!$I71/365)))</f>
        <v/>
      </c>
      <c r="O61">
        <f>IF(ISBLANK(LSP_All[[#This Row],[M4+]]),"",ABS(LSP_All[[#This Row],[M4+]]-('statistics-M4'!$F71/365)))</f>
        <v>6.7964109589041097</v>
      </c>
      <c r="P61">
        <f>IF(ISBLANK(LSP_All[[#This Row],[M5+]]),"",ABS(LSP_All[[#This Row],[M5+]]-('statistics-M5'!$F71/365)))</f>
        <v>12.755109589041096</v>
      </c>
      <c r="Q61" t="str">
        <f>IF(ISBLANK(LSP_All[[#This Row],[M6+]]),"",ABS(LSP_All[[#This Row],[M6+]]-('statistics-M6'!$F71/365)))</f>
        <v/>
      </c>
      <c r="R61" t="str">
        <f>IF(ISBLANK(LSP_All[[#This Row],[M7+]]),"",ABS(LSP_All[[#This Row],[M7+]]-('statistics-M7'!$F71/365)))</f>
        <v/>
      </c>
      <c r="S61" t="str">
        <f>IF(ISBLANK(LSP_All[[#This Row],[M8+]]),"",ABS(LSP_All[[#This Row],[M8+]]-('statistics-M8'!$F71/365)))</f>
        <v/>
      </c>
      <c r="U61">
        <f>IF(ISBLANK(LSP_All[[#This Row],[M4+]]),"",ABS(LSP_All[[#This Row],[M4+]]-('statistics-M4'!$J71/365)))</f>
        <v>5.7991506849315071</v>
      </c>
      <c r="V61">
        <f>IF(ISBLANK(LSP_All[[#This Row],[M5+]]),"",ABS(LSP_All[[#This Row],[M5+]]-('statistics-M5'!$J71/365)))</f>
        <v>9.909904109589041</v>
      </c>
      <c r="W61" t="str">
        <f>IF(ISBLANK(LSP_All[[#This Row],[M6+]]),"",ABS(LSP_All[[#This Row],[M6+]]-('statistics-M6'!$J71/365)))</f>
        <v/>
      </c>
      <c r="X61" t="str">
        <f>IF(ISBLANK(LSP_All[[#This Row],[M7+]]),"",ABS(LSP_All[[#This Row],[M7+]]-('statistics-M7'!$J71/365)))</f>
        <v/>
      </c>
      <c r="Y61" t="str">
        <f>IF(ISBLANK(LSP_All[[#This Row],[M8+]]),"",ABS(LSP_All[[#This Row],[M8+]]-('statistics-M8'!$J71/365)))</f>
        <v/>
      </c>
    </row>
    <row r="62" spans="1:25" x14ac:dyDescent="0.35">
      <c r="A62" t="s">
        <v>34</v>
      </c>
      <c r="B62">
        <v>3</v>
      </c>
      <c r="C62">
        <v>9.1229999999999993</v>
      </c>
      <c r="I62">
        <f>IF(ISBLANK(LSP_All[[#This Row],[M4+]]),"",ABS(LSP_All[[#This Row],[M4+]]-('statistics-M4'!$I72/365)))</f>
        <v>4.2522889758643174</v>
      </c>
      <c r="J62" t="str">
        <f>IF(ISBLANK(LSP_All[[#This Row],[M5+]]),"",ABS(LSP_All[[#This Row],[M5+]]-('statistics-M5'!$I72/365)))</f>
        <v/>
      </c>
      <c r="K62" t="str">
        <f>IF(ISBLANK(LSP_All[[#This Row],[M6+]]),"",ABS(LSP_All[[#This Row],[M6+]]-('statistics-M6'!$I72/365)))</f>
        <v/>
      </c>
      <c r="L62" t="str">
        <f>IF(ISBLANK(LSP_All[[#This Row],[M7+]]),"",ABS(LSP_All[[#This Row],[M7+]]-('statistics-M7'!$I72/365)))</f>
        <v/>
      </c>
      <c r="M62" t="str">
        <f>IF(ISBLANK(LSP_All[[#This Row],[M8+]]),"",ABS(LSP_All[[#This Row],[M8+]]-('statistics-M8'!$I72/365)))</f>
        <v/>
      </c>
      <c r="O62">
        <f>IF(ISBLANK(LSP_All[[#This Row],[M4+]]),"",ABS(LSP_All[[#This Row],[M4+]]-('statistics-M4'!$F72/365)))</f>
        <v>8.5010821917808208</v>
      </c>
      <c r="P62" t="str">
        <f>IF(ISBLANK(LSP_All[[#This Row],[M5+]]),"",ABS(LSP_All[[#This Row],[M5+]]-('statistics-M5'!$F72/365)))</f>
        <v/>
      </c>
      <c r="Q62" t="str">
        <f>IF(ISBLANK(LSP_All[[#This Row],[M6+]]),"",ABS(LSP_All[[#This Row],[M6+]]-('statistics-M6'!$F72/365)))</f>
        <v/>
      </c>
      <c r="R62" t="str">
        <f>IF(ISBLANK(LSP_All[[#This Row],[M7+]]),"",ABS(LSP_All[[#This Row],[M7+]]-('statistics-M7'!$F72/365)))</f>
        <v/>
      </c>
      <c r="S62" t="str">
        <f>IF(ISBLANK(LSP_All[[#This Row],[M8+]]),"",ABS(LSP_All[[#This Row],[M8+]]-('statistics-M8'!$F72/365)))</f>
        <v/>
      </c>
      <c r="U62">
        <f>IF(ISBLANK(LSP_All[[#This Row],[M4+]]),"",ABS(LSP_All[[#This Row],[M4+]]-('statistics-M4'!$J72/365)))</f>
        <v>6.7175205479452043</v>
      </c>
      <c r="V62" t="str">
        <f>IF(ISBLANK(LSP_All[[#This Row],[M5+]]),"",ABS(LSP_All[[#This Row],[M5+]]-('statistics-M5'!$J72/365)))</f>
        <v/>
      </c>
      <c r="W62" t="str">
        <f>IF(ISBLANK(LSP_All[[#This Row],[M6+]]),"",ABS(LSP_All[[#This Row],[M6+]]-('statistics-M6'!$J72/365)))</f>
        <v/>
      </c>
      <c r="X62" t="str">
        <f>IF(ISBLANK(LSP_All[[#This Row],[M7+]]),"",ABS(LSP_All[[#This Row],[M7+]]-('statistics-M7'!$J72/365)))</f>
        <v/>
      </c>
      <c r="Y62" t="str">
        <f>IF(ISBLANK(LSP_All[[#This Row],[M8+]]),"",ABS(LSP_All[[#This Row],[M8+]]-('statistics-M8'!$J72/365)))</f>
        <v/>
      </c>
    </row>
    <row r="63" spans="1:25" x14ac:dyDescent="0.35">
      <c r="A63" t="s">
        <v>35</v>
      </c>
      <c r="B63">
        <v>1</v>
      </c>
      <c r="C63">
        <v>1.4319999999999999</v>
      </c>
      <c r="D63">
        <v>2.077</v>
      </c>
      <c r="I63">
        <f>IF(ISBLANK(LSP_All[[#This Row],[M4+]]),"",ABS(LSP_All[[#This Row],[M4+]]-('statistics-M4'!$I73/365)))</f>
        <v>0.37823287671232864</v>
      </c>
      <c r="J63">
        <f>IF(ISBLANK(LSP_All[[#This Row],[M5+]]),"",ABS(LSP_All[[#This Row],[M5+]]-('statistics-M5'!$I73/365)))</f>
        <v>0.52408002883922133</v>
      </c>
      <c r="K63" t="str">
        <f>IF(ISBLANK(LSP_All[[#This Row],[M6+]]),"",ABS(LSP_All[[#This Row],[M6+]]-('statistics-M6'!$I73/365)))</f>
        <v/>
      </c>
      <c r="L63" t="str">
        <f>IF(ISBLANK(LSP_All[[#This Row],[M7+]]),"",ABS(LSP_All[[#This Row],[M7+]]-('statistics-M7'!$I73/365)))</f>
        <v/>
      </c>
      <c r="M63" t="str">
        <f>IF(ISBLANK(LSP_All[[#This Row],[M8+]]),"",ABS(LSP_All[[#This Row],[M8+]]-('statistics-M8'!$I73/365)))</f>
        <v/>
      </c>
      <c r="O63">
        <f>IF(ISBLANK(LSP_All[[#This Row],[M4+]]),"",ABS(LSP_All[[#This Row],[M4+]]-('statistics-M4'!$F73/365)))</f>
        <v>0.93063013698630126</v>
      </c>
      <c r="P63">
        <f>IF(ISBLANK(LSP_All[[#This Row],[M5+]]),"",ABS(LSP_All[[#This Row],[M5+]]-('statistics-M5'!$F73/365)))</f>
        <v>1.5783698630136986</v>
      </c>
      <c r="Q63" t="str">
        <f>IF(ISBLANK(LSP_All[[#This Row],[M6+]]),"",ABS(LSP_All[[#This Row],[M6+]]-('statistics-M6'!$F73/365)))</f>
        <v/>
      </c>
      <c r="R63" t="str">
        <f>IF(ISBLANK(LSP_All[[#This Row],[M7+]]),"",ABS(LSP_All[[#This Row],[M7+]]-('statistics-M7'!$F73/365)))</f>
        <v/>
      </c>
      <c r="S63" t="str">
        <f>IF(ISBLANK(LSP_All[[#This Row],[M8+]]),"",ABS(LSP_All[[#This Row],[M8+]]-('statistics-M8'!$F73/365)))</f>
        <v/>
      </c>
      <c r="U63">
        <f>IF(ISBLANK(LSP_All[[#This Row],[M4+]]),"",ABS(LSP_All[[#This Row],[M4+]]-('statistics-M4'!$J73/365)))</f>
        <v>0.57720547945205469</v>
      </c>
      <c r="V63">
        <f>IF(ISBLANK(LSP_All[[#This Row],[M5+]]),"",ABS(LSP_All[[#This Row],[M5+]]-('statistics-M5'!$J73/365)))</f>
        <v>0.98932876712328754</v>
      </c>
      <c r="W63" t="str">
        <f>IF(ISBLANK(LSP_All[[#This Row],[M6+]]),"",ABS(LSP_All[[#This Row],[M6+]]-('statistics-M6'!$J73/365)))</f>
        <v/>
      </c>
      <c r="X63" t="str">
        <f>IF(ISBLANK(LSP_All[[#This Row],[M7+]]),"",ABS(LSP_All[[#This Row],[M7+]]-('statistics-M7'!$J73/365)))</f>
        <v/>
      </c>
      <c r="Y63" t="str">
        <f>IF(ISBLANK(LSP_All[[#This Row],[M8+]]),"",ABS(LSP_All[[#This Row],[M8+]]-('statistics-M8'!$J73/365)))</f>
        <v/>
      </c>
    </row>
    <row r="64" spans="1:25" x14ac:dyDescent="0.35">
      <c r="A64" t="s">
        <v>35</v>
      </c>
      <c r="B64">
        <v>2</v>
      </c>
      <c r="C64">
        <v>5.5039999999999996</v>
      </c>
      <c r="D64">
        <v>5.3869999999999996</v>
      </c>
      <c r="I64">
        <f>IF(ISBLANK(LSP_All[[#This Row],[M4+]]),"",ABS(LSP_All[[#This Row],[M4+]]-('statistics-M4'!$I74/365)))</f>
        <v>2.8370209084354721</v>
      </c>
      <c r="J64">
        <f>IF(ISBLANK(LSP_All[[#This Row],[M5+]]),"",ABS(LSP_All[[#This Row],[M5+]]-('statistics-M5'!$I74/365)))</f>
        <v>1.3331917808219167</v>
      </c>
      <c r="K64" t="str">
        <f>IF(ISBLANK(LSP_All[[#This Row],[M6+]]),"",ABS(LSP_All[[#This Row],[M6+]]-('statistics-M6'!$I74/365)))</f>
        <v/>
      </c>
      <c r="L64" t="str">
        <f>IF(ISBLANK(LSP_All[[#This Row],[M7+]]),"",ABS(LSP_All[[#This Row],[M7+]]-('statistics-M7'!$I74/365)))</f>
        <v/>
      </c>
      <c r="M64" t="str">
        <f>IF(ISBLANK(LSP_All[[#This Row],[M8+]]),"",ABS(LSP_All[[#This Row],[M8+]]-('statistics-M8'!$I74/365)))</f>
        <v/>
      </c>
      <c r="O64">
        <f>IF(ISBLANK(LSP_All[[#This Row],[M4+]]),"",ABS(LSP_All[[#This Row],[M4+]]-('statistics-M4'!$F74/365)))</f>
        <v>4.9861917808219172</v>
      </c>
      <c r="P64">
        <f>IF(ISBLANK(LSP_All[[#This Row],[M5+]]),"",ABS(LSP_All[[#This Row],[M5+]]-('statistics-M5'!$F74/365)))</f>
        <v>4.8554931506849313</v>
      </c>
      <c r="Q64" t="str">
        <f>IF(ISBLANK(LSP_All[[#This Row],[M6+]]),"",ABS(LSP_All[[#This Row],[M6+]]-('statistics-M6'!$F74/365)))</f>
        <v/>
      </c>
      <c r="R64" t="str">
        <f>IF(ISBLANK(LSP_All[[#This Row],[M7+]]),"",ABS(LSP_All[[#This Row],[M7+]]-('statistics-M7'!$F74/365)))</f>
        <v/>
      </c>
      <c r="S64" t="str">
        <f>IF(ISBLANK(LSP_All[[#This Row],[M8+]]),"",ABS(LSP_All[[#This Row],[M8+]]-('statistics-M8'!$F74/365)))</f>
        <v/>
      </c>
      <c r="U64">
        <f>IF(ISBLANK(LSP_All[[#This Row],[M4+]]),"",ABS(LSP_All[[#This Row],[M4+]]-('statistics-M4'!$J74/365)))</f>
        <v>4.4135890410958902</v>
      </c>
      <c r="V64">
        <f>IF(ISBLANK(LSP_All[[#This Row],[M5+]]),"",ABS(LSP_All[[#This Row],[M5+]]-('statistics-M5'!$J74/365)))</f>
        <v>4.0637123287671226</v>
      </c>
      <c r="W64" t="str">
        <f>IF(ISBLANK(LSP_All[[#This Row],[M6+]]),"",ABS(LSP_All[[#This Row],[M6+]]-('statistics-M6'!$J74/365)))</f>
        <v/>
      </c>
      <c r="X64" t="str">
        <f>IF(ISBLANK(LSP_All[[#This Row],[M7+]]),"",ABS(LSP_All[[#This Row],[M7+]]-('statistics-M7'!$J74/365)))</f>
        <v/>
      </c>
      <c r="Y64" t="str">
        <f>IF(ISBLANK(LSP_All[[#This Row],[M8+]]),"",ABS(LSP_All[[#This Row],[M8+]]-('statistics-M8'!$J74/365)))</f>
        <v/>
      </c>
    </row>
    <row r="65" spans="1:25" x14ac:dyDescent="0.35">
      <c r="A65" t="s">
        <v>36</v>
      </c>
      <c r="B65">
        <v>1</v>
      </c>
      <c r="C65">
        <v>1.4970000000000001</v>
      </c>
      <c r="D65">
        <v>7.3360000000000003</v>
      </c>
      <c r="I65">
        <f>IF(ISBLANK(LSP_All[[#This Row],[M4+]]),"",ABS(LSP_All[[#This Row],[M4+]]-('statistics-M4'!$I76/365)))</f>
        <v>0.51786406743941005</v>
      </c>
      <c r="J65">
        <f>IF(ISBLANK(LSP_All[[#This Row],[M5+]]),"",ABS(LSP_All[[#This Row],[M5+]]-('statistics-M5'!$I76/365)))</f>
        <v>4.2130547945205485</v>
      </c>
      <c r="K65" t="str">
        <f>IF(ISBLANK(LSP_All[[#This Row],[M6+]]),"",ABS(LSP_All[[#This Row],[M6+]]-('statistics-M6'!$I76/365)))</f>
        <v/>
      </c>
      <c r="L65" t="str">
        <f>IF(ISBLANK(LSP_All[[#This Row],[M7+]]),"",ABS(LSP_All[[#This Row],[M7+]]-('statistics-M7'!$I76/365)))</f>
        <v/>
      </c>
      <c r="M65" t="str">
        <f>IF(ISBLANK(LSP_All[[#This Row],[M8+]]),"",ABS(LSP_All[[#This Row],[M8+]]-('statistics-M8'!$I76/365)))</f>
        <v/>
      </c>
      <c r="O65">
        <f>IF(ISBLANK(LSP_All[[#This Row],[M4+]]),"",ABS(LSP_All[[#This Row],[M4+]]-('statistics-M4'!$F76/365)))</f>
        <v>0.86960273972602753</v>
      </c>
      <c r="P65">
        <f>IF(ISBLANK(LSP_All[[#This Row],[M5+]]),"",ABS(LSP_All[[#This Row],[M5+]]-('statistics-M5'!$F76/365)))</f>
        <v>6.6565479452054799</v>
      </c>
      <c r="Q65" t="str">
        <f>IF(ISBLANK(LSP_All[[#This Row],[M6+]]),"",ABS(LSP_All[[#This Row],[M6+]]-('statistics-M6'!$F76/365)))</f>
        <v/>
      </c>
      <c r="R65" t="str">
        <f>IF(ISBLANK(LSP_All[[#This Row],[M7+]]),"",ABS(LSP_All[[#This Row],[M7+]]-('statistics-M7'!$F76/365)))</f>
        <v/>
      </c>
      <c r="S65" t="str">
        <f>IF(ISBLANK(LSP_All[[#This Row],[M8+]]),"",ABS(LSP_All[[#This Row],[M8+]]-('statistics-M8'!$F76/365)))</f>
        <v/>
      </c>
      <c r="U65">
        <f>IF(ISBLANK(LSP_All[[#This Row],[M4+]]),"",ABS(LSP_All[[#This Row],[M4+]]-('statistics-M4'!$J76/365)))</f>
        <v>0.61480821917808226</v>
      </c>
      <c r="V65">
        <f>IF(ISBLANK(LSP_All[[#This Row],[M5+]]),"",ABS(LSP_All[[#This Row],[M5+]]-('statistics-M5'!$J76/365)))</f>
        <v>5.0962739726027397</v>
      </c>
      <c r="W65" t="str">
        <f>IF(ISBLANK(LSP_All[[#This Row],[M6+]]),"",ABS(LSP_All[[#This Row],[M6+]]-('statistics-M6'!$J76/365)))</f>
        <v/>
      </c>
      <c r="X65" t="str">
        <f>IF(ISBLANK(LSP_All[[#This Row],[M7+]]),"",ABS(LSP_All[[#This Row],[M7+]]-('statistics-M7'!$J76/365)))</f>
        <v/>
      </c>
      <c r="Y65" t="str">
        <f>IF(ISBLANK(LSP_All[[#This Row],[M8+]]),"",ABS(LSP_All[[#This Row],[M8+]]-('statistics-M8'!$J76/365)))</f>
        <v/>
      </c>
    </row>
    <row r="66" spans="1:25" x14ac:dyDescent="0.35">
      <c r="A66" t="s">
        <v>36</v>
      </c>
      <c r="B66">
        <v>2</v>
      </c>
      <c r="C66">
        <v>2.3380000000000001</v>
      </c>
      <c r="D66">
        <v>2.577</v>
      </c>
      <c r="I66">
        <f>IF(ISBLANK(LSP_All[[#This Row],[M4+]]),"",ABS(LSP_All[[#This Row],[M4+]]-('statistics-M4'!$I77/365)))</f>
        <v>1.3304130663856693</v>
      </c>
      <c r="J66">
        <f>IF(ISBLANK(LSP_All[[#This Row],[M5+]]),"",ABS(LSP_All[[#This Row],[M5+]]-('statistics-M5'!$I77/365)))</f>
        <v>1.254414822620302</v>
      </c>
      <c r="K66" t="str">
        <f>IF(ISBLANK(LSP_All[[#This Row],[M6+]]),"",ABS(LSP_All[[#This Row],[M6+]]-('statistics-M6'!$I77/365)))</f>
        <v/>
      </c>
      <c r="L66" t="str">
        <f>IF(ISBLANK(LSP_All[[#This Row],[M7+]]),"",ABS(LSP_All[[#This Row],[M7+]]-('statistics-M7'!$I77/365)))</f>
        <v/>
      </c>
      <c r="M66" t="str">
        <f>IF(ISBLANK(LSP_All[[#This Row],[M8+]]),"",ABS(LSP_All[[#This Row],[M8+]]-('statistics-M8'!$I77/365)))</f>
        <v/>
      </c>
      <c r="O66">
        <f>IF(ISBLANK(LSP_All[[#This Row],[M4+]]),"",ABS(LSP_All[[#This Row],[M4+]]-('statistics-M4'!$F77/365)))</f>
        <v>1.7434794520547947</v>
      </c>
      <c r="P66">
        <f>IF(ISBLANK(LSP_All[[#This Row],[M5+]]),"",ABS(LSP_All[[#This Row],[M5+]]-('statistics-M5'!$F77/365)))</f>
        <v>1.8893287671232877</v>
      </c>
      <c r="Q66" t="str">
        <f>IF(ISBLANK(LSP_All[[#This Row],[M6+]]),"",ABS(LSP_All[[#This Row],[M6+]]-('statistics-M6'!$F77/365)))</f>
        <v/>
      </c>
      <c r="R66" t="str">
        <f>IF(ISBLANK(LSP_All[[#This Row],[M7+]]),"",ABS(LSP_All[[#This Row],[M7+]]-('statistics-M7'!$F77/365)))</f>
        <v/>
      </c>
      <c r="S66" t="str">
        <f>IF(ISBLANK(LSP_All[[#This Row],[M8+]]),"",ABS(LSP_All[[#This Row],[M8+]]-('statistics-M8'!$F77/365)))</f>
        <v/>
      </c>
      <c r="U66">
        <f>IF(ISBLANK(LSP_All[[#This Row],[M4+]]),"",ABS(LSP_All[[#This Row],[M4+]]-('statistics-M4'!$J77/365)))</f>
        <v>1.5201917808219179</v>
      </c>
      <c r="V66">
        <f>IF(ISBLANK(LSP_All[[#This Row],[M5+]]),"",ABS(LSP_All[[#This Row],[M5+]]-('statistics-M5'!$J77/365)))</f>
        <v>1.577</v>
      </c>
      <c r="W66" t="str">
        <f>IF(ISBLANK(LSP_All[[#This Row],[M6+]]),"",ABS(LSP_All[[#This Row],[M6+]]-('statistics-M6'!$J77/365)))</f>
        <v/>
      </c>
      <c r="X66" t="str">
        <f>IF(ISBLANK(LSP_All[[#This Row],[M7+]]),"",ABS(LSP_All[[#This Row],[M7+]]-('statistics-M7'!$J77/365)))</f>
        <v/>
      </c>
      <c r="Y66" t="str">
        <f>IF(ISBLANK(LSP_All[[#This Row],[M8+]]),"",ABS(LSP_All[[#This Row],[M8+]]-('statistics-M8'!$J77/365)))</f>
        <v/>
      </c>
    </row>
    <row r="67" spans="1:25" x14ac:dyDescent="0.35">
      <c r="A67" t="s">
        <v>36</v>
      </c>
      <c r="B67">
        <v>3</v>
      </c>
      <c r="C67">
        <v>1.661</v>
      </c>
      <c r="D67">
        <v>2.8769999999999998</v>
      </c>
      <c r="I67">
        <f>IF(ISBLANK(LSP_All[[#This Row],[M4+]]),"",ABS(LSP_All[[#This Row],[M4+]]-('statistics-M4'!$I78/365)))</f>
        <v>0.314208363374189</v>
      </c>
      <c r="J67">
        <f>IF(ISBLANK(LSP_All[[#This Row],[M5+]]),"",ABS(LSP_All[[#This Row],[M5+]]-('statistics-M5'!$I78/365)))</f>
        <v>0.78310211706102084</v>
      </c>
      <c r="K67" t="str">
        <f>IF(ISBLANK(LSP_All[[#This Row],[M6+]]),"",ABS(LSP_All[[#This Row],[M6+]]-('statistics-M6'!$I78/365)))</f>
        <v/>
      </c>
      <c r="L67" t="str">
        <f>IF(ISBLANK(LSP_All[[#This Row],[M7+]]),"",ABS(LSP_All[[#This Row],[M7+]]-('statistics-M7'!$I78/365)))</f>
        <v/>
      </c>
      <c r="M67" t="str">
        <f>IF(ISBLANK(LSP_All[[#This Row],[M8+]]),"",ABS(LSP_All[[#This Row],[M8+]]-('statistics-M8'!$I78/365)))</f>
        <v/>
      </c>
      <c r="O67">
        <f>IF(ISBLANK(LSP_All[[#This Row],[M4+]]),"",ABS(LSP_All[[#This Row],[M4+]]-('statistics-M4'!$F78/365)))</f>
        <v>0.67469863013698639</v>
      </c>
      <c r="P67">
        <f>IF(ISBLANK(LSP_All[[#This Row],[M5+]]),"",ABS(LSP_All[[#This Row],[M5+]]-('statistics-M5'!$F78/365)))</f>
        <v>2.3811095890410958</v>
      </c>
      <c r="Q67" t="str">
        <f>IF(ISBLANK(LSP_All[[#This Row],[M6+]]),"",ABS(LSP_All[[#This Row],[M6+]]-('statistics-M6'!$F78/365)))</f>
        <v/>
      </c>
      <c r="R67" t="str">
        <f>IF(ISBLANK(LSP_All[[#This Row],[M7+]]),"",ABS(LSP_All[[#This Row],[M7+]]-('statistics-M7'!$F78/365)))</f>
        <v/>
      </c>
      <c r="S67" t="str">
        <f>IF(ISBLANK(LSP_All[[#This Row],[M8+]]),"",ABS(LSP_All[[#This Row],[M8+]]-('statistics-M8'!$F78/365)))</f>
        <v/>
      </c>
      <c r="U67">
        <f>IF(ISBLANK(LSP_All[[#This Row],[M4+]]),"",ABS(LSP_All[[#This Row],[M4+]]-('statistics-M4'!$J78/365)))</f>
        <v>0.66647945205479453</v>
      </c>
      <c r="V67">
        <f>IF(ISBLANK(LSP_All[[#This Row],[M5+]]),"",ABS(LSP_All[[#This Row],[M5+]]-('statistics-M5'!$J78/365)))</f>
        <v>1.3030273972602737</v>
      </c>
      <c r="W67" t="str">
        <f>IF(ISBLANK(LSP_All[[#This Row],[M6+]]),"",ABS(LSP_All[[#This Row],[M6+]]-('statistics-M6'!$J78/365)))</f>
        <v/>
      </c>
      <c r="X67" t="str">
        <f>IF(ISBLANK(LSP_All[[#This Row],[M7+]]),"",ABS(LSP_All[[#This Row],[M7+]]-('statistics-M7'!$J78/365)))</f>
        <v/>
      </c>
      <c r="Y67" t="str">
        <f>IF(ISBLANK(LSP_All[[#This Row],[M8+]]),"",ABS(LSP_All[[#This Row],[M8+]]-('statistics-M8'!$J78/365)))</f>
        <v/>
      </c>
    </row>
    <row r="68" spans="1:25" x14ac:dyDescent="0.35">
      <c r="A68" t="s">
        <v>37</v>
      </c>
      <c r="B68">
        <v>1</v>
      </c>
      <c r="C68">
        <v>3.3220000000000001</v>
      </c>
      <c r="D68">
        <v>3.3220000000000001</v>
      </c>
      <c r="I68">
        <f>IF(ISBLANK(LSP_All[[#This Row],[M4+]]),"",ABS(LSP_All[[#This Row],[M4+]]-('statistics-M4'!$I79/365)))</f>
        <v>1.5029661139149244</v>
      </c>
      <c r="J68">
        <f>IF(ISBLANK(LSP_All[[#This Row],[M5+]]),"",ABS(LSP_All[[#This Row],[M5+]]-('statistics-M5'!$I79/365)))</f>
        <v>1.3280590094836671</v>
      </c>
      <c r="K68" t="str">
        <f>IF(ISBLANK(LSP_All[[#This Row],[M6+]]),"",ABS(LSP_All[[#This Row],[M6+]]-('statistics-M6'!$I79/365)))</f>
        <v/>
      </c>
      <c r="L68" t="str">
        <f>IF(ISBLANK(LSP_All[[#This Row],[M7+]]),"",ABS(LSP_All[[#This Row],[M7+]]-('statistics-M7'!$I79/365)))</f>
        <v/>
      </c>
      <c r="M68" t="str">
        <f>IF(ISBLANK(LSP_All[[#This Row],[M8+]]),"",ABS(LSP_All[[#This Row],[M8+]]-('statistics-M8'!$I79/365)))</f>
        <v/>
      </c>
      <c r="O68">
        <f>IF(ISBLANK(LSP_All[[#This Row],[M4+]]),"",ABS(LSP_All[[#This Row],[M4+]]-('statistics-M4'!$F79/365)))</f>
        <v>2.8124109589041097</v>
      </c>
      <c r="P68">
        <f>IF(ISBLANK(LSP_All[[#This Row],[M5+]]),"",ABS(LSP_All[[#This Row],[M5+]]-('statistics-M5'!$F79/365)))</f>
        <v>2.8124109589041097</v>
      </c>
      <c r="Q68" t="str">
        <f>IF(ISBLANK(LSP_All[[#This Row],[M6+]]),"",ABS(LSP_All[[#This Row],[M6+]]-('statistics-M6'!$F79/365)))</f>
        <v/>
      </c>
      <c r="R68" t="str">
        <f>IF(ISBLANK(LSP_All[[#This Row],[M7+]]),"",ABS(LSP_All[[#This Row],[M7+]]-('statistics-M7'!$F79/365)))</f>
        <v/>
      </c>
      <c r="S68" t="str">
        <f>IF(ISBLANK(LSP_All[[#This Row],[M8+]]),"",ABS(LSP_All[[#This Row],[M8+]]-('statistics-M8'!$F79/365)))</f>
        <v/>
      </c>
      <c r="U68">
        <f>IF(ISBLANK(LSP_All[[#This Row],[M4+]]),"",ABS(LSP_All[[#This Row],[M4+]]-('statistics-M4'!$J79/365)))</f>
        <v>2.3493972602739728</v>
      </c>
      <c r="V68">
        <f>IF(ISBLANK(LSP_All[[#This Row],[M5+]]),"",ABS(LSP_All[[#This Row],[M5+]]-('statistics-M5'!$J79/365)))</f>
        <v>2.3699452054794521</v>
      </c>
      <c r="W68" t="str">
        <f>IF(ISBLANK(LSP_All[[#This Row],[M6+]]),"",ABS(LSP_All[[#This Row],[M6+]]-('statistics-M6'!$J79/365)))</f>
        <v/>
      </c>
      <c r="X68" t="str">
        <f>IF(ISBLANK(LSP_All[[#This Row],[M7+]]),"",ABS(LSP_All[[#This Row],[M7+]]-('statistics-M7'!$J79/365)))</f>
        <v/>
      </c>
      <c r="Y68" t="str">
        <f>IF(ISBLANK(LSP_All[[#This Row],[M8+]]),"",ABS(LSP_All[[#This Row],[M8+]]-('statistics-M8'!$J79/365)))</f>
        <v/>
      </c>
    </row>
    <row r="69" spans="1:25" x14ac:dyDescent="0.35">
      <c r="A69" t="s">
        <v>37</v>
      </c>
      <c r="B69">
        <v>2</v>
      </c>
      <c r="C69">
        <v>4.01</v>
      </c>
      <c r="D69">
        <v>7.5419999999999998</v>
      </c>
      <c r="I69">
        <f>IF(ISBLANK(LSP_All[[#This Row],[M4+]]),"",ABS(LSP_All[[#This Row],[M4+]]-('statistics-M4'!$I80/365)))</f>
        <v>0.27105022831050185</v>
      </c>
      <c r="J69">
        <f>IF(ISBLANK(LSP_All[[#This Row],[M5+]]),"",ABS(LSP_All[[#This Row],[M5+]]-('statistics-M5'!$I80/365)))</f>
        <v>2.8717633872976336</v>
      </c>
      <c r="K69" t="str">
        <f>IF(ISBLANK(LSP_All[[#This Row],[M6+]]),"",ABS(LSP_All[[#This Row],[M6+]]-('statistics-M6'!$I80/365)))</f>
        <v/>
      </c>
      <c r="L69" t="str">
        <f>IF(ISBLANK(LSP_All[[#This Row],[M7+]]),"",ABS(LSP_All[[#This Row],[M7+]]-('statistics-M7'!$I80/365)))</f>
        <v/>
      </c>
      <c r="M69" t="str">
        <f>IF(ISBLANK(LSP_All[[#This Row],[M8+]]),"",ABS(LSP_All[[#This Row],[M8+]]-('statistics-M8'!$I80/365)))</f>
        <v/>
      </c>
      <c r="O69">
        <f>IF(ISBLANK(LSP_All[[#This Row],[M4+]]),"",ABS(LSP_All[[#This Row],[M4+]]-('statistics-M4'!$F80/365)))</f>
        <v>3.2072602739726026</v>
      </c>
      <c r="P69">
        <f>IF(ISBLANK(LSP_All[[#This Row],[M5+]]),"",ABS(LSP_All[[#This Row],[M5+]]-('statistics-M5'!$F80/365)))</f>
        <v>6.7392602739726026</v>
      </c>
      <c r="Q69" t="str">
        <f>IF(ISBLANK(LSP_All[[#This Row],[M6+]]),"",ABS(LSP_All[[#This Row],[M6+]]-('statistics-M6'!$F80/365)))</f>
        <v/>
      </c>
      <c r="R69" t="str">
        <f>IF(ISBLANK(LSP_All[[#This Row],[M7+]]),"",ABS(LSP_All[[#This Row],[M7+]]-('statistics-M7'!$F80/365)))</f>
        <v/>
      </c>
      <c r="S69" t="str">
        <f>IF(ISBLANK(LSP_All[[#This Row],[M8+]]),"",ABS(LSP_All[[#This Row],[M8+]]-('statistics-M8'!$F80/365)))</f>
        <v/>
      </c>
      <c r="U69">
        <f>IF(ISBLANK(LSP_All[[#This Row],[M4+]]),"",ABS(LSP_All[[#This Row],[M4+]]-('statistics-M4'!$J80/365)))</f>
        <v>0.17438356164383562</v>
      </c>
      <c r="V69">
        <f>IF(ISBLANK(LSP_All[[#This Row],[M5+]]),"",ABS(LSP_All[[#This Row],[M5+]]-('statistics-M5'!$J80/365)))</f>
        <v>2.9310410958904107</v>
      </c>
      <c r="W69" t="str">
        <f>IF(ISBLANK(LSP_All[[#This Row],[M6+]]),"",ABS(LSP_All[[#This Row],[M6+]]-('statistics-M6'!$J80/365)))</f>
        <v/>
      </c>
      <c r="X69" t="str">
        <f>IF(ISBLANK(LSP_All[[#This Row],[M7+]]),"",ABS(LSP_All[[#This Row],[M7+]]-('statistics-M7'!$J80/365)))</f>
        <v/>
      </c>
      <c r="Y69" t="str">
        <f>IF(ISBLANK(LSP_All[[#This Row],[M8+]]),"",ABS(LSP_All[[#This Row],[M8+]]-('statistics-M8'!$J80/365)))</f>
        <v/>
      </c>
    </row>
    <row r="70" spans="1:25" x14ac:dyDescent="0.35">
      <c r="H70" t="s">
        <v>33</v>
      </c>
      <c r="I70" s="2">
        <f>ROUND(AVERAGE(I2:I69),3)</f>
        <v>0.93</v>
      </c>
      <c r="J70" s="2">
        <f>ROUND(AVERAGE(J2:J69),3)</f>
        <v>0.81699999999999995</v>
      </c>
      <c r="K70" s="2">
        <f>ROUND(AVERAGE(K2:K69),3)</f>
        <v>1.819</v>
      </c>
      <c r="L70" s="2">
        <f>ROUND(AVERAGE(L2:L69),3)</f>
        <v>1.659</v>
      </c>
      <c r="M70" s="2">
        <f>ROUND(AVERAGE(M2:M69),3)</f>
        <v>4.0129999999999999</v>
      </c>
      <c r="O70" s="2">
        <f>ROUND(AVERAGE(O2:O69),3)</f>
        <v>2.0840000000000001</v>
      </c>
      <c r="P70" s="2">
        <f>ROUND(AVERAGE(P2:P69),3)</f>
        <v>2.133</v>
      </c>
      <c r="Q70" s="2">
        <f>ROUND(AVERAGE(Q2:Q69),3)</f>
        <v>4.1189999999999998</v>
      </c>
      <c r="R70" s="2">
        <f>ROUND(AVERAGE(R2:R69),3)</f>
        <v>4.4539999999999997</v>
      </c>
      <c r="S70" s="2">
        <f>ROUND(AVERAGE(S2:S69),3)</f>
        <v>13.726000000000001</v>
      </c>
      <c r="U70" s="2">
        <f>ROUND(AVERAGE(U2:U69),3)</f>
        <v>1.6519999999999999</v>
      </c>
      <c r="V70" s="2">
        <f>ROUND(AVERAGE(V2:V69),3)</f>
        <v>1.4890000000000001</v>
      </c>
      <c r="W70" s="2">
        <f>ROUND(AVERAGE(W2:W69),3)</f>
        <v>2.7040000000000002</v>
      </c>
      <c r="X70" s="2">
        <f>ROUND(AVERAGE(X2:X69),3)</f>
        <v>2.48</v>
      </c>
      <c r="Y70" s="2">
        <f>ROUND(AVERAGE(Y2:Y69),3)</f>
        <v>5.6689999999999996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918E-4E54-4905-9265-4B9EE6C29B45}">
  <dimension ref="A1:Y70"/>
  <sheetViews>
    <sheetView workbookViewId="0">
      <selection activeCell="O1" sqref="O1:O1048576"/>
    </sheetView>
  </sheetViews>
  <sheetFormatPr defaultRowHeight="14.5" x14ac:dyDescent="0.35"/>
  <cols>
    <col min="1" max="1" width="16.6328125" bestFit="1" customWidth="1"/>
    <col min="2" max="2" width="11.26953125" bestFit="1" customWidth="1"/>
    <col min="3" max="7" width="6.81640625" bestFit="1" customWidth="1"/>
    <col min="9" max="9" width="13.7265625" bestFit="1" customWidth="1"/>
    <col min="10" max="13" width="10.36328125" bestFit="1" customWidth="1"/>
    <col min="15" max="19" width="10.36328125" bestFit="1" customWidth="1"/>
    <col min="21" max="25" width="10.36328125" bestFit="1" customWidth="1"/>
  </cols>
  <sheetData>
    <row r="1" spans="1:25" x14ac:dyDescent="0.3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I1" t="s">
        <v>67</v>
      </c>
      <c r="J1" t="s">
        <v>69</v>
      </c>
      <c r="K1" t="s">
        <v>70</v>
      </c>
      <c r="L1" t="s">
        <v>71</v>
      </c>
      <c r="M1" t="s">
        <v>68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</row>
    <row r="2" spans="1:25" x14ac:dyDescent="0.35">
      <c r="A2" t="s">
        <v>9</v>
      </c>
      <c r="B2">
        <v>1</v>
      </c>
      <c r="C2">
        <v>1.5409999999999999</v>
      </c>
      <c r="D2">
        <v>1.5409999999999999</v>
      </c>
      <c r="E2">
        <v>1.833</v>
      </c>
      <c r="F2">
        <v>2.5870000000000002</v>
      </c>
      <c r="G2" t="s">
        <v>57</v>
      </c>
      <c r="I2">
        <f>IF(ISBLANK(NFFT_All[[#This Row],[M4+]]),"",ABS(NFFT_All[[#This Row],[M4+]]-(statistics_M4[[#This Row],[mean_gap]]/365)))</f>
        <v>0.65815681578695273</v>
      </c>
      <c r="J2">
        <f>IF(ISBLANK(NFFT_All[[#This Row],[M5+]]),"",ABS(NFFT_All[[#This Row],[M5+]]-(statistics_M5[[#This Row],[mean_gap]]/365)))</f>
        <v>0.65815681578695273</v>
      </c>
      <c r="K2">
        <f>IF(ISBLANK(NFFT_All[[#This Row],[M6+]]),"",ABS(NFFT_All[[#This Row],[M6+]]-(statistics_M6[[#This Row],[mean_gap]]/365)))</f>
        <v>0.93540704500978467</v>
      </c>
      <c r="L2">
        <f>IF(ISBLANK(NFFT_All[[#This Row],[M7+]]),"",ABS(NFFT_All[[#This Row],[M7+]]-(statistics_M7[[#This Row],[mean_gap]]/365)))</f>
        <v>0.79181409001956959</v>
      </c>
      <c r="M2" t="e">
        <f>IF(ISBLANK(NFFT_All[[#This Row],[M8+]]),"",ABS(NFFT_All[[#This Row],[M8+]]-(statistics_M8[[#This Row],[mean_gap]]/365)))</f>
        <v>#VALUE!</v>
      </c>
      <c r="O2">
        <f>IF(ISBLANK(NFFT_All[[#This Row],[M4+]]),"",ABS(NFFT_All[[#This Row],[M4+]]-(statistics_M4[[#This Row],[exact_mode]]/365)))</f>
        <v>1.0094931506849314</v>
      </c>
      <c r="P2">
        <f>IF(ISBLANK(NFFT_All[[#This Row],[M5+]]),"",ABS(NFFT_All[[#This Row],[M5+]]-(statistics_M5[[#This Row],[exact_mode]]/365)))</f>
        <v>1.0094931506849314</v>
      </c>
      <c r="Q2">
        <f>IF(ISBLANK(NFFT_All[[#This Row],[M6+]]),"",ABS(NFFT_All[[#This Row],[M6+]]-(statistics_M6[[#This Row],[exact_mode]]/365)))</f>
        <v>1.3014931506849314</v>
      </c>
      <c r="R2">
        <f>IF(ISBLANK(NFFT_All[[#This Row],[M7+]]),"",ABS(NFFT_All[[#This Row],[M7+]]-(statistics_M7[[#This Row],[exact_mode]]/365)))</f>
        <v>2.0527534246575345</v>
      </c>
      <c r="S2" t="e">
        <f>IF(ISBLANK(NFFT_All[[#This Row],[M8+]]),"",ABS(NFFT_All[[#This Row],[M8+]]-(statistics_M8[[#This Row],[exact_mode]]/365)))</f>
        <v>#VALUE!</v>
      </c>
      <c r="U2">
        <f>IF(ISBLANK(NFFT_All[[#This Row],[M4+]]),"",ABS(NFFT_All[[#This Row],[M4+]]-(statistics_M4[[#This Row],[median_gap]]/365)))</f>
        <v>0.73004109589041088</v>
      </c>
      <c r="V2">
        <f>IF(ISBLANK(NFFT_All[[#This Row],[M5+]]),"",ABS(NFFT_All[[#This Row],[M5+]]-(statistics_M5[[#This Row],[median_gap]]/365)))</f>
        <v>0.73004109589041088</v>
      </c>
      <c r="W2">
        <f>IF(ISBLANK(NFFT_All[[#This Row],[M6+]]),"",ABS(NFFT_All[[#This Row],[M6+]]-(statistics_M6[[#This Row],[median_gap]]/365)))</f>
        <v>1.0083424657534246</v>
      </c>
      <c r="X2">
        <f>IF(ISBLANK(NFFT_All[[#This Row],[M7+]]),"",ABS(NFFT_All[[#This Row],[M7+]]-(statistics_M7[[#This Row],[median_gap]]/365)))</f>
        <v>1.2883698630136988</v>
      </c>
      <c r="Y2" t="e">
        <f>IF(ISBLANK(NFFT_All[[#This Row],[M8+]]),"",ABS(NFFT_All[[#This Row],[M8+]]-(statistics_M8[[#This Row],[median_gap]]/365)))</f>
        <v>#VALUE!</v>
      </c>
    </row>
    <row r="3" spans="1:25" x14ac:dyDescent="0.35">
      <c r="A3" t="s">
        <v>9</v>
      </c>
      <c r="B3">
        <v>2</v>
      </c>
      <c r="C3">
        <v>1.506</v>
      </c>
      <c r="D3">
        <v>1.506</v>
      </c>
      <c r="E3">
        <v>2.7429999999999999</v>
      </c>
      <c r="G3" t="s">
        <v>57</v>
      </c>
      <c r="I3">
        <f>IF(ISBLANK(NFFT_All[[#This Row],[M4+]]),"",ABS(NFFT_All[[#This Row],[M4+]]-(statistics_M4[[#This Row],[mean_gap]]/365)))</f>
        <v>0.53615822448762873</v>
      </c>
      <c r="J3">
        <f>IF(ISBLANK(NFFT_All[[#This Row],[M5+]]),"",ABS(NFFT_All[[#This Row],[M5+]]-(statistics_M5[[#This Row],[mean_gap]]/365)))</f>
        <v>0.53615822448762873</v>
      </c>
      <c r="K3">
        <f>IF(ISBLANK(NFFT_All[[#This Row],[M6+]]),"",ABS(NFFT_All[[#This Row],[M6+]]-(statistics_M6[[#This Row],[mean_gap]]/365)))</f>
        <v>1.6455474645517902</v>
      </c>
      <c r="L3" t="str">
        <f>IF(ISBLANK(NFFT_All[[#This Row],[M7+]]),"",ABS(NFFT_All[[#This Row],[M7+]]-(statistics_M7[[#This Row],[mean_gap]]/365)))</f>
        <v/>
      </c>
      <c r="M3" t="e">
        <f>IF(ISBLANK(NFFT_All[[#This Row],[M8+]]),"",ABS(NFFT_All[[#This Row],[M8+]]-(statistics_M8[[#This Row],[mean_gap]]/365)))</f>
        <v>#VALUE!</v>
      </c>
      <c r="O3">
        <f>IF(ISBLANK(NFFT_All[[#This Row],[M4+]]),"",ABS(NFFT_All[[#This Row],[M4+]]-(statistics_M4[[#This Row],[exact_mode]]/365)))</f>
        <v>0.96353424657534248</v>
      </c>
      <c r="P3">
        <f>IF(ISBLANK(NFFT_All[[#This Row],[M5+]]),"",ABS(NFFT_All[[#This Row],[M5+]]-(statistics_M5[[#This Row],[exact_mode]]/365)))</f>
        <v>0.96353424657534248</v>
      </c>
      <c r="Q3">
        <f>IF(ISBLANK(NFFT_All[[#This Row],[M6+]]),"",ABS(NFFT_All[[#This Row],[M6+]]-(statistics_M6[[#This Row],[exact_mode]]/365)))</f>
        <v>2.2005342465753426</v>
      </c>
      <c r="R3" t="str">
        <f>IF(ISBLANK(NFFT_All[[#This Row],[M7+]]),"",ABS(NFFT_All[[#This Row],[M7+]]-(statistics_M7[[#This Row],[exact_mode]]/365)))</f>
        <v/>
      </c>
      <c r="S3" t="e">
        <f>IF(ISBLANK(NFFT_All[[#This Row],[M8+]]),"",ABS(NFFT_All[[#This Row],[M8+]]-(statistics_M8[[#This Row],[exact_mode]]/365)))</f>
        <v>#VALUE!</v>
      </c>
      <c r="U3">
        <f>IF(ISBLANK(NFFT_All[[#This Row],[M4+]]),"",ABS(NFFT_All[[#This Row],[M4+]]-(statistics_M4[[#This Row],[median_gap]]/365)))</f>
        <v>0.67860273972602736</v>
      </c>
      <c r="V3">
        <f>IF(ISBLANK(NFFT_All[[#This Row],[M5+]]),"",ABS(NFFT_All[[#This Row],[M5+]]-(statistics_M5[[#This Row],[median_gap]]/365)))</f>
        <v>0.67860273972602736</v>
      </c>
      <c r="W3">
        <f>IF(ISBLANK(NFFT_All[[#This Row],[M6+]]),"",ABS(NFFT_All[[#This Row],[M6+]]-(statistics_M6[[#This Row],[median_gap]]/365)))</f>
        <v>1.7484794520547944</v>
      </c>
      <c r="X3" t="str">
        <f>IF(ISBLANK(NFFT_All[[#This Row],[M7+]]),"",ABS(NFFT_All[[#This Row],[M7+]]-(statistics_M7[[#This Row],[median_gap]]/365)))</f>
        <v/>
      </c>
      <c r="Y3" t="e">
        <f>IF(ISBLANK(NFFT_All[[#This Row],[M8+]]),"",ABS(NFFT_All[[#This Row],[M8+]]-(statistics_M8[[#This Row],[median_gap]]/365)))</f>
        <v>#VALUE!</v>
      </c>
    </row>
    <row r="4" spans="1:25" x14ac:dyDescent="0.35">
      <c r="A4" t="s">
        <v>9</v>
      </c>
      <c r="B4">
        <v>3</v>
      </c>
      <c r="D4">
        <v>3.8039999999999998</v>
      </c>
      <c r="G4" t="s">
        <v>58</v>
      </c>
      <c r="I4" t="str">
        <f>IF(ISBLANK(NFFT_All[[#This Row],[M4+]]),"",ABS(NFFT_All[[#This Row],[M4+]]-(statistics_M4[[#This Row],[mean_gap]]/365)))</f>
        <v/>
      </c>
      <c r="J4">
        <f>IF(ISBLANK(NFFT_All[[#This Row],[M5+]]),"",ABS(NFFT_All[[#This Row],[M5+]]-(statistics_M5[[#This Row],[mean_gap]]/365)))</f>
        <v>2.5368219178082199</v>
      </c>
      <c r="K4" t="str">
        <f>IF(ISBLANK(NFFT_All[[#This Row],[M6+]]),"",ABS(NFFT_All[[#This Row],[M6+]]-(statistics_M6[[#This Row],[mean_gap]]/365)))</f>
        <v/>
      </c>
      <c r="L4" t="str">
        <f>IF(ISBLANK(NFFT_All[[#This Row],[M7+]]),"",ABS(NFFT_All[[#This Row],[M7+]]-(statistics_M7[[#This Row],[mean_gap]]/365)))</f>
        <v/>
      </c>
      <c r="M4" t="e">
        <f>IF(ISBLANK(NFFT_All[[#This Row],[M8+]]),"",ABS(NFFT_All[[#This Row],[M8+]]-(statistics_M8[[#This Row],[mean_gap]]/365)))</f>
        <v>#VALUE!</v>
      </c>
      <c r="O4" t="str">
        <f>IF(ISBLANK(NFFT_All[[#This Row],[M4+]]),"",ABS(NFFT_All[[#This Row],[M4+]]-(statistics_M4[[#This Row],[exact_mode]]/365)))</f>
        <v/>
      </c>
      <c r="P4">
        <f>IF(ISBLANK(NFFT_All[[#This Row],[M5+]]),"",ABS(NFFT_All[[#This Row],[M5+]]-(statistics_M5[[#This Row],[exact_mode]]/365)))</f>
        <v>3.2834520547945205</v>
      </c>
      <c r="Q4" t="str">
        <f>IF(ISBLANK(NFFT_All[[#This Row],[M6+]]),"",ABS(NFFT_All[[#This Row],[M6+]]-(statistics_M6[[#This Row],[exact_mode]]/365)))</f>
        <v/>
      </c>
      <c r="R4" t="str">
        <f>IF(ISBLANK(NFFT_All[[#This Row],[M7+]]),"",ABS(NFFT_All[[#This Row],[M7+]]-(statistics_M7[[#This Row],[exact_mode]]/365)))</f>
        <v/>
      </c>
      <c r="S4" t="e">
        <f>IF(ISBLANK(NFFT_All[[#This Row],[M8+]]),"",ABS(NFFT_All[[#This Row],[M8+]]-(statistics_M8[[#This Row],[exact_mode]]/365)))</f>
        <v>#VALUE!</v>
      </c>
      <c r="U4" t="str">
        <f>IF(ISBLANK(NFFT_All[[#This Row],[M4+]]),"",ABS(NFFT_All[[#This Row],[M4+]]-(statistics_M4[[#This Row],[median_gap]]/365)))</f>
        <v/>
      </c>
      <c r="V4">
        <f>IF(ISBLANK(NFFT_All[[#This Row],[M5+]]),"",ABS(NFFT_All[[#This Row],[M5+]]-(statistics_M5[[#This Row],[median_gap]]/365)))</f>
        <v>1.1165479452054794</v>
      </c>
      <c r="W4" t="str">
        <f>IF(ISBLANK(NFFT_All[[#This Row],[M6+]]),"",ABS(NFFT_All[[#This Row],[M6+]]-(statistics_M6[[#This Row],[median_gap]]/365)))</f>
        <v/>
      </c>
      <c r="X4" t="str">
        <f>IF(ISBLANK(NFFT_All[[#This Row],[M7+]]),"",ABS(NFFT_All[[#This Row],[M7+]]-(statistics_M7[[#This Row],[median_gap]]/365)))</f>
        <v/>
      </c>
      <c r="Y4" t="e">
        <f>IF(ISBLANK(NFFT_All[[#This Row],[M8+]]),"",ABS(NFFT_All[[#This Row],[M8+]]-(statistics_M8[[#This Row],[median_gap]]/365)))</f>
        <v>#VALUE!</v>
      </c>
    </row>
    <row r="5" spans="1:25" x14ac:dyDescent="0.35">
      <c r="A5" t="s">
        <v>10</v>
      </c>
      <c r="B5">
        <v>1</v>
      </c>
      <c r="C5">
        <v>2.11</v>
      </c>
      <c r="D5">
        <v>2.11</v>
      </c>
      <c r="E5">
        <v>2.11</v>
      </c>
      <c r="F5">
        <v>2.7949999999999999</v>
      </c>
      <c r="G5" t="s">
        <v>57</v>
      </c>
      <c r="I5">
        <f>IF(ISBLANK(NFFT_All[[#This Row],[M4+]]),"",ABS(NFFT_All[[#This Row],[M4+]]-(statistics_M4[[#This Row],[mean_gap]]/365)))</f>
        <v>1.205812133072407</v>
      </c>
      <c r="J5">
        <f>IF(ISBLANK(NFFT_All[[#This Row],[M5+]]),"",ABS(NFFT_All[[#This Row],[M5+]]-(statistics_M5[[#This Row],[mean_gap]]/365)))</f>
        <v>1.205812133072407</v>
      </c>
      <c r="K5">
        <f>IF(ISBLANK(NFFT_All[[#This Row],[M6+]]),"",ABS(NFFT_All[[#This Row],[M6+]]-(statistics_M6[[#This Row],[mean_gap]]/365)))</f>
        <v>1.205812133072407</v>
      </c>
      <c r="L5">
        <f>IF(ISBLANK(NFFT_All[[#This Row],[M7+]]),"",ABS(NFFT_All[[#This Row],[M7+]]-(statistics_M7[[#This Row],[mean_gap]]/365)))</f>
        <v>0.98170427074939548</v>
      </c>
      <c r="M5" t="e">
        <f>IF(ISBLANK(NFFT_All[[#This Row],[M8+]]),"",ABS(NFFT_All[[#This Row],[M8+]]-(statistics_M8[[#This Row],[mean_gap]]/365)))</f>
        <v>#VALUE!</v>
      </c>
      <c r="O5">
        <f>IF(ISBLANK(NFFT_All[[#This Row],[M4+]]),"",ABS(NFFT_All[[#This Row],[M4+]]-(statistics_M4[[#This Row],[exact_mode]]/365)))</f>
        <v>1.5182191780821916</v>
      </c>
      <c r="P5">
        <f>IF(ISBLANK(NFFT_All[[#This Row],[M5+]]),"",ABS(NFFT_All[[#This Row],[M5+]]-(statistics_M5[[#This Row],[exact_mode]]/365)))</f>
        <v>1.5182191780821916</v>
      </c>
      <c r="Q5">
        <f>IF(ISBLANK(NFFT_All[[#This Row],[M6+]]),"",ABS(NFFT_All[[#This Row],[M6+]]-(statistics_M6[[#This Row],[exact_mode]]/365)))</f>
        <v>1.5182191780821916</v>
      </c>
      <c r="R5">
        <f>IF(ISBLANK(NFFT_All[[#This Row],[M7+]]),"",ABS(NFFT_All[[#This Row],[M7+]]-(statistics_M7[[#This Row],[exact_mode]]/365)))</f>
        <v>1.7319863013698629</v>
      </c>
      <c r="S5" t="e">
        <f>IF(ISBLANK(NFFT_All[[#This Row],[M8+]]),"",ABS(NFFT_All[[#This Row],[M8+]]-(statistics_M8[[#This Row],[exact_mode]]/365)))</f>
        <v>#VALUE!</v>
      </c>
      <c r="U5">
        <f>IF(ISBLANK(NFFT_All[[#This Row],[M4+]]),"",ABS(NFFT_All[[#This Row],[M4+]]-(statistics_M4[[#This Row],[median_gap]]/365)))</f>
        <v>1.3264383561643833</v>
      </c>
      <c r="V5">
        <f>IF(ISBLANK(NFFT_All[[#This Row],[M5+]]),"",ABS(NFFT_All[[#This Row],[M5+]]-(statistics_M5[[#This Row],[median_gap]]/365)))</f>
        <v>1.3264383561643833</v>
      </c>
      <c r="W5">
        <f>IF(ISBLANK(NFFT_All[[#This Row],[M6+]]),"",ABS(NFFT_All[[#This Row],[M6+]]-(statistics_M6[[#This Row],[median_gap]]/365)))</f>
        <v>1.3264383561643833</v>
      </c>
      <c r="X5">
        <f>IF(ISBLANK(NFFT_All[[#This Row],[M7+]]),"",ABS(NFFT_All[[#This Row],[M7+]]-(statistics_M7[[#This Row],[median_gap]]/365)))</f>
        <v>1.5059589041095889</v>
      </c>
      <c r="Y5" t="e">
        <f>IF(ISBLANK(NFFT_All[[#This Row],[M8+]]),"",ABS(NFFT_All[[#This Row],[M8+]]-(statistics_M8[[#This Row],[median_gap]]/365)))</f>
        <v>#VALUE!</v>
      </c>
    </row>
    <row r="6" spans="1:25" x14ac:dyDescent="0.35">
      <c r="A6" t="s">
        <v>10</v>
      </c>
      <c r="B6">
        <v>2</v>
      </c>
      <c r="C6">
        <v>1.2310000000000001</v>
      </c>
      <c r="D6">
        <v>1.2769999999999999</v>
      </c>
      <c r="G6" t="s">
        <v>58</v>
      </c>
      <c r="I6">
        <f>IF(ISBLANK(NFFT_All[[#This Row],[M4+]]),"",ABS(NFFT_All[[#This Row],[M4+]]-(statistics_M4[[#This Row],[mean_gap]]/365)))</f>
        <v>1.3496929617383024E-2</v>
      </c>
      <c r="J6">
        <f>IF(ISBLANK(NFFT_All[[#This Row],[M5+]]),"",ABS(NFFT_All[[#This Row],[M5+]]-(statistics_M5[[#This Row],[mean_gap]]/365)))</f>
        <v>0.29214830256104829</v>
      </c>
      <c r="K6" t="str">
        <f>IF(ISBLANK(NFFT_All[[#This Row],[M6+]]),"",ABS(NFFT_All[[#This Row],[M6+]]-(statistics_M6[[#This Row],[mean_gap]]/365)))</f>
        <v/>
      </c>
      <c r="L6" t="str">
        <f>IF(ISBLANK(NFFT_All[[#This Row],[M7+]]),"",ABS(NFFT_All[[#This Row],[M7+]]-(statistics_M7[[#This Row],[mean_gap]]/365)))</f>
        <v/>
      </c>
      <c r="M6" t="e">
        <f>IF(ISBLANK(NFFT_All[[#This Row],[M8+]]),"",ABS(NFFT_All[[#This Row],[M8+]]-(statistics_M8[[#This Row],[mean_gap]]/365)))</f>
        <v>#VALUE!</v>
      </c>
      <c r="O6">
        <f>IF(ISBLANK(NFFT_All[[#This Row],[M4+]]),"",ABS(NFFT_All[[#This Row],[M4+]]-(statistics_M4[[#This Row],[exact_mode]]/365)))</f>
        <v>0.73236986301369877</v>
      </c>
      <c r="P6">
        <f>IF(ISBLANK(NFFT_All[[#This Row],[M5+]]),"",ABS(NFFT_All[[#This Row],[M5+]]-(statistics_M5[[#This Row],[exact_mode]]/365)))</f>
        <v>0.70987671232876703</v>
      </c>
      <c r="Q6" t="str">
        <f>IF(ISBLANK(NFFT_All[[#This Row],[M6+]]),"",ABS(NFFT_All[[#This Row],[M6+]]-(statistics_M6[[#This Row],[exact_mode]]/365)))</f>
        <v/>
      </c>
      <c r="R6" t="str">
        <f>IF(ISBLANK(NFFT_All[[#This Row],[M7+]]),"",ABS(NFFT_All[[#This Row],[M7+]]-(statistics_M7[[#This Row],[exact_mode]]/365)))</f>
        <v/>
      </c>
      <c r="S6" t="e">
        <f>IF(ISBLANK(NFFT_All[[#This Row],[M8+]]),"",ABS(NFFT_All[[#This Row],[M8+]]-(statistics_M8[[#This Row],[exact_mode]]/365)))</f>
        <v>#VALUE!</v>
      </c>
      <c r="U6">
        <f>IF(ISBLANK(NFFT_All[[#This Row],[M4+]]),"",ABS(NFFT_All[[#This Row],[M4+]]-(statistics_M4[[#This Row],[median_gap]]/365)))</f>
        <v>0.24058904109589052</v>
      </c>
      <c r="V6">
        <f>IF(ISBLANK(NFFT_All[[#This Row],[M5+]]),"",ABS(NFFT_All[[#This Row],[M5+]]-(statistics_M5[[#This Row],[median_gap]]/365)))</f>
        <v>3.5904109589041111E-2</v>
      </c>
      <c r="W6" t="str">
        <f>IF(ISBLANK(NFFT_All[[#This Row],[M6+]]),"",ABS(NFFT_All[[#This Row],[M6+]]-(statistics_M6[[#This Row],[median_gap]]/365)))</f>
        <v/>
      </c>
      <c r="X6" t="str">
        <f>IF(ISBLANK(NFFT_All[[#This Row],[M7+]]),"",ABS(NFFT_All[[#This Row],[M7+]]-(statistics_M7[[#This Row],[median_gap]]/365)))</f>
        <v/>
      </c>
      <c r="Y6" t="e">
        <f>IF(ISBLANK(NFFT_All[[#This Row],[M8+]]),"",ABS(NFFT_All[[#This Row],[M8+]]-(statistics_M8[[#This Row],[median_gap]]/365)))</f>
        <v>#VALUE!</v>
      </c>
    </row>
    <row r="7" spans="1:25" x14ac:dyDescent="0.35">
      <c r="A7" t="s">
        <v>10</v>
      </c>
      <c r="B7">
        <v>3</v>
      </c>
      <c r="C7">
        <v>2.3730000000000002</v>
      </c>
      <c r="D7">
        <v>5.5860000000000003</v>
      </c>
      <c r="G7" t="s">
        <v>58</v>
      </c>
      <c r="I7">
        <f>IF(ISBLANK(NFFT_All[[#This Row],[M4+]]),"",ABS(NFFT_All[[#This Row],[M4+]]-(statistics_M4[[#This Row],[mean_gap]]/365)))</f>
        <v>0.1073036529680369</v>
      </c>
      <c r="J7">
        <f>IF(ISBLANK(NFFT_All[[#This Row],[M5+]]),"",ABS(NFFT_All[[#This Row],[M5+]]-(statistics_M5[[#This Row],[mean_gap]]/365)))</f>
        <v>2.3128835616438361</v>
      </c>
      <c r="K7" t="str">
        <f>IF(ISBLANK(NFFT_All[[#This Row],[M6+]]),"",ABS(NFFT_All[[#This Row],[M6+]]-(statistics_M6[[#This Row],[mean_gap]]/365)))</f>
        <v/>
      </c>
      <c r="L7" t="str">
        <f>IF(ISBLANK(NFFT_All[[#This Row],[M7+]]),"",ABS(NFFT_All[[#This Row],[M7+]]-(statistics_M7[[#This Row],[mean_gap]]/365)))</f>
        <v/>
      </c>
      <c r="M7" t="e">
        <f>IF(ISBLANK(NFFT_All[[#This Row],[M8+]]),"",ABS(NFFT_All[[#This Row],[M8+]]-(statistics_M8[[#This Row],[mean_gap]]/365)))</f>
        <v>#VALUE!</v>
      </c>
      <c r="O7">
        <f>IF(ISBLANK(NFFT_All[[#This Row],[M4+]]),"",ABS(NFFT_All[[#This Row],[M4+]]-(statistics_M4[[#This Row],[exact_mode]]/365)))</f>
        <v>1.7593013698630138</v>
      </c>
      <c r="P7">
        <f>IF(ISBLANK(NFFT_All[[#This Row],[M5+]]),"",ABS(NFFT_All[[#This Row],[M5+]]-(statistics_M5[[#This Row],[exact_mode]]/365)))</f>
        <v>4.4353150684931508</v>
      </c>
      <c r="Q7" t="str">
        <f>IF(ISBLANK(NFFT_All[[#This Row],[M6+]]),"",ABS(NFFT_All[[#This Row],[M6+]]-(statistics_M6[[#This Row],[exact_mode]]/365)))</f>
        <v/>
      </c>
      <c r="R7" t="str">
        <f>IF(ISBLANK(NFFT_All[[#This Row],[M7+]]),"",ABS(NFFT_All[[#This Row],[M7+]]-(statistics_M7[[#This Row],[exact_mode]]/365)))</f>
        <v/>
      </c>
      <c r="S7" t="e">
        <f>IF(ISBLANK(NFFT_All[[#This Row],[M8+]]),"",ABS(NFFT_All[[#This Row],[M8+]]-(statistics_M8[[#This Row],[exact_mode]]/365)))</f>
        <v>#VALUE!</v>
      </c>
      <c r="U7">
        <f>IF(ISBLANK(NFFT_All[[#This Row],[M4+]]),"",ABS(NFFT_All[[#This Row],[M4+]]-(statistics_M4[[#This Row],[median_gap]]/365)))</f>
        <v>1.2401232876712331</v>
      </c>
      <c r="V7">
        <f>IF(ISBLANK(NFFT_All[[#This Row],[M5+]]),"",ABS(NFFT_All[[#This Row],[M5+]]-(statistics_M5[[#This Row],[median_gap]]/365)))</f>
        <v>4.1010684931506853</v>
      </c>
      <c r="W7" t="str">
        <f>IF(ISBLANK(NFFT_All[[#This Row],[M6+]]),"",ABS(NFFT_All[[#This Row],[M6+]]-(statistics_M6[[#This Row],[median_gap]]/365)))</f>
        <v/>
      </c>
      <c r="X7" t="str">
        <f>IF(ISBLANK(NFFT_All[[#This Row],[M7+]]),"",ABS(NFFT_All[[#This Row],[M7+]]-(statistics_M7[[#This Row],[median_gap]]/365)))</f>
        <v/>
      </c>
      <c r="Y7" t="e">
        <f>IF(ISBLANK(NFFT_All[[#This Row],[M8+]]),"",ABS(NFFT_All[[#This Row],[M8+]]-(statistics_M8[[#This Row],[median_gap]]/365)))</f>
        <v>#VALUE!</v>
      </c>
    </row>
    <row r="8" spans="1:25" x14ac:dyDescent="0.35">
      <c r="A8" t="s">
        <v>11</v>
      </c>
      <c r="B8">
        <v>1</v>
      </c>
      <c r="C8">
        <v>1.6020000000000001</v>
      </c>
      <c r="D8">
        <v>1.6020000000000001</v>
      </c>
      <c r="E8">
        <v>1.5920000000000001</v>
      </c>
      <c r="F8">
        <v>2.4910000000000001</v>
      </c>
      <c r="G8" t="s">
        <v>57</v>
      </c>
      <c r="I8">
        <f>IF(ISBLANK(NFFT_All[[#This Row],[M4+]]),"",ABS(NFFT_All[[#This Row],[M4+]]-(statistics_M4[[#This Row],[mean_gap]]/365)))</f>
        <v>0.73696955859969571</v>
      </c>
      <c r="J8">
        <f>IF(ISBLANK(NFFT_All[[#This Row],[M5+]]),"",ABS(NFFT_All[[#This Row],[M5+]]-(statistics_M5[[#This Row],[mean_gap]]/365)))</f>
        <v>0.73696955859969571</v>
      </c>
      <c r="K8">
        <f>IF(ISBLANK(NFFT_All[[#This Row],[M6+]]),"",ABS(NFFT_All[[#This Row],[M6+]]-(statistics_M6[[#This Row],[mean_gap]]/365)))</f>
        <v>0.68935953940837813</v>
      </c>
      <c r="L8">
        <f>IF(ISBLANK(NFFT_All[[#This Row],[M7+]]),"",ABS(NFFT_All[[#This Row],[M7+]]-(statistics_M7[[#This Row],[mean_gap]]/365)))</f>
        <v>0.51378756251359015</v>
      </c>
      <c r="M8" t="e">
        <f>IF(ISBLANK(NFFT_All[[#This Row],[M8+]]),"",ABS(NFFT_All[[#This Row],[M8+]]-(statistics_M8[[#This Row],[mean_gap]]/365)))</f>
        <v>#VALUE!</v>
      </c>
      <c r="O8">
        <f>IF(ISBLANK(NFFT_All[[#This Row],[M4+]]),"",ABS(NFFT_All[[#This Row],[M4+]]-(statistics_M4[[#This Row],[exact_mode]]/365)))</f>
        <v>1.1006301369863014</v>
      </c>
      <c r="P8">
        <f>IF(ISBLANK(NFFT_All[[#This Row],[M5+]]),"",ABS(NFFT_All[[#This Row],[M5+]]-(statistics_M5[[#This Row],[exact_mode]]/365)))</f>
        <v>1.1006301369863014</v>
      </c>
      <c r="Q8">
        <f>IF(ISBLANK(NFFT_All[[#This Row],[M6+]]),"",ABS(NFFT_All[[#This Row],[M6+]]-(statistics_M6[[#This Row],[exact_mode]]/365)))</f>
        <v>1.0906301369863014</v>
      </c>
      <c r="R8">
        <f>IF(ISBLANK(NFFT_All[[#This Row],[M7+]]),"",ABS(NFFT_All[[#This Row],[M7+]]-(statistics_M7[[#This Row],[exact_mode]]/365)))</f>
        <v>1.8964794520547947</v>
      </c>
      <c r="S8" t="e">
        <f>IF(ISBLANK(NFFT_All[[#This Row],[M8+]]),"",ABS(NFFT_All[[#This Row],[M8+]]-(statistics_M8[[#This Row],[exact_mode]]/365)))</f>
        <v>#VALUE!</v>
      </c>
      <c r="U8">
        <f>IF(ISBLANK(NFFT_All[[#This Row],[M4+]]),"",ABS(NFFT_All[[#This Row],[M4+]]-(statistics_M4[[#This Row],[median_gap]]/365)))</f>
        <v>0.85542465753424668</v>
      </c>
      <c r="V8">
        <f>IF(ISBLANK(NFFT_All[[#This Row],[M5+]]),"",ABS(NFFT_All[[#This Row],[M5+]]-(statistics_M5[[#This Row],[median_gap]]/365)))</f>
        <v>0.85542465753424668</v>
      </c>
      <c r="W8">
        <f>IF(ISBLANK(NFFT_All[[#This Row],[M6+]]),"",ABS(NFFT_All[[#This Row],[M6+]]-(statistics_M6[[#This Row],[median_gap]]/365)))</f>
        <v>0.84405479452054799</v>
      </c>
      <c r="X8">
        <f>IF(ISBLANK(NFFT_All[[#This Row],[M7+]]),"",ABS(NFFT_All[[#This Row],[M7+]]-(statistics_M7[[#This Row],[median_gap]]/365)))</f>
        <v>0.90743835616438373</v>
      </c>
      <c r="Y8" t="e">
        <f>IF(ISBLANK(NFFT_All[[#This Row],[M8+]]),"",ABS(NFFT_All[[#This Row],[M8+]]-(statistics_M8[[#This Row],[median_gap]]/365)))</f>
        <v>#VALUE!</v>
      </c>
    </row>
    <row r="9" spans="1:25" x14ac:dyDescent="0.35">
      <c r="A9" t="s">
        <v>11</v>
      </c>
      <c r="B9">
        <v>2</v>
      </c>
      <c r="G9" t="s">
        <v>58</v>
      </c>
      <c r="I9" t="str">
        <f>IF(ISBLANK(NFFT_All[[#This Row],[M4+]]),"",ABS(NFFT_All[[#This Row],[M4+]]-(statistics_M4[[#This Row],[mean_gap]]/365)))</f>
        <v/>
      </c>
      <c r="J9" t="str">
        <f>IF(ISBLANK(NFFT_All[[#This Row],[M5+]]),"",ABS(NFFT_All[[#This Row],[M5+]]-(statistics_M5[[#This Row],[mean_gap]]/365)))</f>
        <v/>
      </c>
      <c r="K9" t="str">
        <f>IF(ISBLANK(NFFT_All[[#This Row],[M6+]]),"",ABS(NFFT_All[[#This Row],[M6+]]-(statistics_M6[[#This Row],[mean_gap]]/365)))</f>
        <v/>
      </c>
      <c r="L9" t="str">
        <f>IF(ISBLANK(NFFT_All[[#This Row],[M7+]]),"",ABS(NFFT_All[[#This Row],[M7+]]-(statistics_M7[[#This Row],[mean_gap]]/365)))</f>
        <v/>
      </c>
      <c r="M9" t="e">
        <f>IF(ISBLANK(NFFT_All[[#This Row],[M8+]]),"",ABS(NFFT_All[[#This Row],[M8+]]-(statistics_M8[[#This Row],[mean_gap]]/365)))</f>
        <v>#VALUE!</v>
      </c>
      <c r="O9" t="str">
        <f>IF(ISBLANK(NFFT_All[[#This Row],[M4+]]),"",ABS(NFFT_All[[#This Row],[M4+]]-(statistics_M4[[#This Row],[exact_mode]]/365)))</f>
        <v/>
      </c>
      <c r="P9" t="str">
        <f>IF(ISBLANK(NFFT_All[[#This Row],[M5+]]),"",ABS(NFFT_All[[#This Row],[M5+]]-(statistics_M5[[#This Row],[exact_mode]]/365)))</f>
        <v/>
      </c>
      <c r="Q9" t="str">
        <f>IF(ISBLANK(NFFT_All[[#This Row],[M6+]]),"",ABS(NFFT_All[[#This Row],[M6+]]-(statistics_M6[[#This Row],[exact_mode]]/365)))</f>
        <v/>
      </c>
      <c r="R9" t="str">
        <f>IF(ISBLANK(NFFT_All[[#This Row],[M7+]]),"",ABS(NFFT_All[[#This Row],[M7+]]-(statistics_M7[[#This Row],[exact_mode]]/365)))</f>
        <v/>
      </c>
      <c r="S9" t="e">
        <f>IF(ISBLANK(NFFT_All[[#This Row],[M8+]]),"",ABS(NFFT_All[[#This Row],[M8+]]-(statistics_M8[[#This Row],[exact_mode]]/365)))</f>
        <v>#VALUE!</v>
      </c>
      <c r="U9" t="str">
        <f>IF(ISBLANK(NFFT_All[[#This Row],[M4+]]),"",ABS(NFFT_All[[#This Row],[M4+]]-(statistics_M4[[#This Row],[median_gap]]/365)))</f>
        <v/>
      </c>
      <c r="V9" t="str">
        <f>IF(ISBLANK(NFFT_All[[#This Row],[M5+]]),"",ABS(NFFT_All[[#This Row],[M5+]]-(statistics_M5[[#This Row],[median_gap]]/365)))</f>
        <v/>
      </c>
      <c r="W9" t="str">
        <f>IF(ISBLANK(NFFT_All[[#This Row],[M6+]]),"",ABS(NFFT_All[[#This Row],[M6+]]-(statistics_M6[[#This Row],[median_gap]]/365)))</f>
        <v/>
      </c>
      <c r="X9" t="str">
        <f>IF(ISBLANK(NFFT_All[[#This Row],[M7+]]),"",ABS(NFFT_All[[#This Row],[M7+]]-(statistics_M7[[#This Row],[median_gap]]/365)))</f>
        <v/>
      </c>
      <c r="Y9" t="e">
        <f>IF(ISBLANK(NFFT_All[[#This Row],[M8+]]),"",ABS(NFFT_All[[#This Row],[M8+]]-(statistics_M8[[#This Row],[median_gap]]/365)))</f>
        <v>#VALUE!</v>
      </c>
    </row>
    <row r="10" spans="1:25" x14ac:dyDescent="0.35">
      <c r="A10" t="s">
        <v>12</v>
      </c>
      <c r="B10">
        <v>1</v>
      </c>
      <c r="C10">
        <v>1.431</v>
      </c>
      <c r="D10">
        <v>1.431</v>
      </c>
      <c r="E10">
        <v>1.6619999999999999</v>
      </c>
      <c r="F10">
        <v>4.1920000000000002</v>
      </c>
      <c r="G10" t="s">
        <v>57</v>
      </c>
      <c r="I10">
        <f>IF(ISBLANK(NFFT_All[[#This Row],[M4+]]),"",ABS(NFFT_All[[#This Row],[M4+]]-('statistics-M4'!I11/365)))</f>
        <v>0.47517542741849839</v>
      </c>
      <c r="J10">
        <f>IF(ISBLANK(NFFT_All[[#This Row],[M5+]]),"",ABS(NFFT_All[[#This Row],[M5+]]-('statistics-M5'!$I11/365)))</f>
        <v>0.47517542741849839</v>
      </c>
      <c r="K10">
        <f>IF(ISBLANK(NFFT_All[[#This Row],[M6+]]),"",ABS(NFFT_All[[#This Row],[M6+]]-('statistics-M6'!$I11/365)))</f>
        <v>0.66763411400795403</v>
      </c>
      <c r="L10">
        <f>IF(ISBLANK(NFFT_All[[#This Row],[M7+]]),"",ABS(NFFT_All[[#This Row],[M7+]]-('statistics-M7'!$I11/365)))</f>
        <v>0.45559485263594901</v>
      </c>
      <c r="M10" t="e">
        <f>IF(ISBLANK(NFFT_All[[#This Row],[M8+]]),"",ABS(NFFT_All[[#This Row],[M8+]]-('statistics-M8'!$I11/365)))</f>
        <v>#VALUE!</v>
      </c>
      <c r="O10">
        <f>IF(ISBLANK(NFFT_All[[#This Row],[M4+]]),"",ABS(NFFT_All[[#This Row],[M4+]]-('statistics-M4'!$F11/365)))</f>
        <v>0.82278082191780821</v>
      </c>
      <c r="P10">
        <f>IF(ISBLANK(NFFT_All[[#This Row],[M5+]]),"",ABS(NFFT_All[[#This Row],[M5+]]-('statistics-M5'!$F11/365)))</f>
        <v>0.82278082191780821</v>
      </c>
      <c r="Q10">
        <f>IF(ISBLANK(NFFT_All[[#This Row],[M6+]]),"",ABS(NFFT_All[[#This Row],[M6+]]-('statistics-M6'!$F11/365)))</f>
        <v>1.0537808219178082</v>
      </c>
      <c r="R10">
        <f>IF(ISBLANK(NFFT_All[[#This Row],[M7+]]),"",ABS(NFFT_All[[#This Row],[M7+]]-('statistics-M7'!$F11/365)))</f>
        <v>3.5399452054794525</v>
      </c>
      <c r="S10" t="e">
        <f>IF(ISBLANK(NFFT_All[[#This Row],[M8+]]),"",ABS(NFFT_All[[#This Row],[M8+]]-('statistics-M8'!$F11/365)))</f>
        <v>#VALUE!</v>
      </c>
      <c r="U10">
        <f>IF(ISBLANK(NFFT_All[[#This Row],[M4+]]),"",ABS(NFFT_All[[#This Row],[M4+]]-('statistics-M4'!$J11/365)))</f>
        <v>0.56524657534246581</v>
      </c>
      <c r="V10">
        <f>IF(ISBLANK(NFFT_All[[#This Row],[M5+]]),"",ABS(NFFT_All[[#This Row],[M5+]]-('statistics-M5'!$J11/365)))</f>
        <v>0.56524657534246581</v>
      </c>
      <c r="W10">
        <f>IF(ISBLANK(NFFT_All[[#This Row],[M6+]]),"",ABS(NFFT_All[[#This Row],[M6+]]-('statistics-M6'!$J11/365)))</f>
        <v>0.74830136986301365</v>
      </c>
      <c r="X10">
        <f>IF(ISBLANK(NFFT_All[[#This Row],[M7+]]),"",ABS(NFFT_All[[#This Row],[M7+]]-('statistics-M7'!$J11/365)))</f>
        <v>1.6687123287671235</v>
      </c>
      <c r="Y10" t="e">
        <f>IF(ISBLANK(NFFT_All[[#This Row],[M8+]]),"",ABS(NFFT_All[[#This Row],[M8+]]-('statistics-M8'!$J11/365)))</f>
        <v>#VALUE!</v>
      </c>
    </row>
    <row r="11" spans="1:25" x14ac:dyDescent="0.35">
      <c r="A11" t="s">
        <v>13</v>
      </c>
      <c r="B11">
        <v>1</v>
      </c>
      <c r="C11">
        <v>2.0910000000000002</v>
      </c>
      <c r="D11">
        <v>2.0910000000000002</v>
      </c>
      <c r="E11">
        <v>1.804</v>
      </c>
      <c r="F11">
        <v>5.9930000000000003</v>
      </c>
      <c r="G11" t="s">
        <v>57</v>
      </c>
      <c r="I11">
        <f>IF(ISBLANK(NFFT_All[[#This Row],[M4+]]),"",ABS(NFFT_All[[#This Row],[M4+]]-('statistics-M4'!I14/365)))</f>
        <v>1.1946790606653623</v>
      </c>
      <c r="J11">
        <f>IF(ISBLANK(NFFT_All[[#This Row],[M5+]]),"",ABS(NFFT_All[[#This Row],[M5+]]-('statistics-M5'!$I14/365)))</f>
        <v>1.1946790606653623</v>
      </c>
      <c r="K11">
        <f>IF(ISBLANK(NFFT_All[[#This Row],[M6+]]),"",ABS(NFFT_All[[#This Row],[M6+]]-('statistics-M6'!$I14/365)))</f>
        <v>0.89468890212428032</v>
      </c>
      <c r="L11">
        <f>IF(ISBLANK(NFFT_All[[#This Row],[M7+]]),"",ABS(NFFT_All[[#This Row],[M7+]]-('statistics-M7'!$I14/365)))</f>
        <v>3.3365733022442439</v>
      </c>
      <c r="M11" t="e">
        <f>IF(ISBLANK(NFFT_All[[#This Row],[M8+]]),"",ABS(NFFT_All[[#This Row],[M8+]]-('statistics-M8'!$I14/365)))</f>
        <v>#VALUE!</v>
      </c>
      <c r="O11">
        <f>IF(ISBLANK(NFFT_All[[#This Row],[M4+]]),"",ABS(NFFT_All[[#This Row],[M4+]]-('statistics-M4'!$F14/365)))</f>
        <v>1.595109589041096</v>
      </c>
      <c r="P11">
        <f>IF(ISBLANK(NFFT_All[[#This Row],[M5+]]),"",ABS(NFFT_All[[#This Row],[M5+]]-('statistics-M5'!$F14/365)))</f>
        <v>1.595109589041096</v>
      </c>
      <c r="Q11">
        <f>IF(ISBLANK(NFFT_All[[#This Row],[M6+]]),"",ABS(NFFT_All[[#This Row],[M6+]]-('statistics-M6'!$F14/365)))</f>
        <v>1.3081095890410959</v>
      </c>
      <c r="R11">
        <f>IF(ISBLANK(NFFT_All[[#This Row],[M7+]]),"",ABS(NFFT_All[[#This Row],[M7+]]-('statistics-M7'!$F14/365)))</f>
        <v>5.4313561643835619</v>
      </c>
      <c r="S11" t="e">
        <f>IF(ISBLANK(NFFT_All[[#This Row],[M8+]]),"",ABS(NFFT_All[[#This Row],[M8+]]-('statistics-M8'!$F14/365)))</f>
        <v>#VALUE!</v>
      </c>
      <c r="U11">
        <f>IF(ISBLANK(NFFT_All[[#This Row],[M4+]]),"",ABS(NFFT_All[[#This Row],[M4+]]-('statistics-M4'!$J14/365)))</f>
        <v>1.2485342465753426</v>
      </c>
      <c r="V11">
        <f>IF(ISBLANK(NFFT_All[[#This Row],[M5+]]),"",ABS(NFFT_All[[#This Row],[M5+]]-('statistics-M5'!$J14/365)))</f>
        <v>1.2485342465753426</v>
      </c>
      <c r="W11">
        <f>IF(ISBLANK(NFFT_All[[#This Row],[M6+]]),"",ABS(NFFT_All[[#This Row],[M6+]]-('statistics-M6'!$J14/365)))</f>
        <v>0.95331506849315073</v>
      </c>
      <c r="X11">
        <f>IF(ISBLANK(NFFT_All[[#This Row],[M7+]]),"",ABS(NFFT_All[[#This Row],[M7+]]-('statistics-M7'!$J14/365)))</f>
        <v>4.1382054794520551</v>
      </c>
      <c r="Y11" t="e">
        <f>IF(ISBLANK(NFFT_All[[#This Row],[M8+]]),"",ABS(NFFT_All[[#This Row],[M8+]]-('statistics-M8'!$J14/365)))</f>
        <v>#VALUE!</v>
      </c>
    </row>
    <row r="12" spans="1:25" x14ac:dyDescent="0.35">
      <c r="A12" t="s">
        <v>13</v>
      </c>
      <c r="B12">
        <v>2</v>
      </c>
      <c r="C12">
        <v>1.6819999999999999</v>
      </c>
      <c r="D12">
        <v>2.1589999999999998</v>
      </c>
      <c r="E12">
        <v>2.3220000000000001</v>
      </c>
      <c r="G12" t="s">
        <v>58</v>
      </c>
      <c r="I12">
        <f>IF(ISBLANK(NFFT_All[[#This Row],[M4+]]),"",ABS(NFFT_All[[#This Row],[M4+]]-('statistics-M4'!I15/365)))</f>
        <v>0.80576331811263302</v>
      </c>
      <c r="J12">
        <f>IF(ISBLANK(NFFT_All[[#This Row],[M5+]]),"",ABS(NFFT_All[[#This Row],[M5+]]-('statistics-M5'!$I15/365)))</f>
        <v>1.1482178524083073</v>
      </c>
      <c r="K12">
        <f>IF(ISBLANK(NFFT_All[[#This Row],[M6+]]),"",ABS(NFFT_All[[#This Row],[M6+]]-('statistics-M6'!$I15/365)))</f>
        <v>0.22295193870443475</v>
      </c>
      <c r="L12" t="str">
        <f>IF(ISBLANK(NFFT_All[[#This Row],[M7+]]),"",ABS(NFFT_All[[#This Row],[M7+]]-('statistics-M7'!$I15/365)))</f>
        <v/>
      </c>
      <c r="M12" t="e">
        <f>IF(ISBLANK(NFFT_All[[#This Row],[M8+]]),"",ABS(NFFT_All[[#This Row],[M8+]]-('statistics-M8'!$I15/365)))</f>
        <v>#VALUE!</v>
      </c>
      <c r="O12">
        <f>IF(ISBLANK(NFFT_All[[#This Row],[M4+]]),"",ABS(NFFT_All[[#This Row],[M4+]]-('statistics-M4'!$F15/365)))</f>
        <v>1.1806301369863013</v>
      </c>
      <c r="P12">
        <f>IF(ISBLANK(NFFT_All[[#This Row],[M5+]]),"",ABS(NFFT_All[[#This Row],[M5+]]-('statistics-M5'!$F15/365)))</f>
        <v>1.6576301369863011</v>
      </c>
      <c r="Q12">
        <f>IF(ISBLANK(NFFT_All[[#This Row],[M6+]]),"",ABS(NFFT_All[[#This Row],[M6+]]-('statistics-M6'!$F15/365)))</f>
        <v>1.5795342465753426</v>
      </c>
      <c r="R12" t="str">
        <f>IF(ISBLANK(NFFT_All[[#This Row],[M7+]]),"",ABS(NFFT_All[[#This Row],[M7+]]-('statistics-M7'!$F15/365)))</f>
        <v/>
      </c>
      <c r="S12" t="e">
        <f>IF(ISBLANK(NFFT_All[[#This Row],[M8+]]),"",ABS(NFFT_All[[#This Row],[M8+]]-('statistics-M8'!$F15/365)))</f>
        <v>#VALUE!</v>
      </c>
      <c r="U12">
        <f>IF(ISBLANK(NFFT_All[[#This Row],[M4+]]),"",ABS(NFFT_All[[#This Row],[M4+]]-('statistics-M4'!$J15/365)))</f>
        <v>0.87241095890410958</v>
      </c>
      <c r="V12">
        <f>IF(ISBLANK(NFFT_All[[#This Row],[M5+]]),"",ABS(NFFT_All[[#This Row],[M5+]]-('statistics-M5'!$J15/365)))</f>
        <v>1.3124246575342464</v>
      </c>
      <c r="W12">
        <f>IF(ISBLANK(NFFT_All[[#This Row],[M6+]]),"",ABS(NFFT_All[[#This Row],[M6+]]-('statistics-M6'!$J15/365)))</f>
        <v>0.63980821917808228</v>
      </c>
      <c r="X12" t="str">
        <f>IF(ISBLANK(NFFT_All[[#This Row],[M7+]]),"",ABS(NFFT_All[[#This Row],[M7+]]-('statistics-M7'!$J15/365)))</f>
        <v/>
      </c>
      <c r="Y12" t="e">
        <f>IF(ISBLANK(NFFT_All[[#This Row],[M8+]]),"",ABS(NFFT_All[[#This Row],[M8+]]-('statistics-M8'!$J15/365)))</f>
        <v>#VALUE!</v>
      </c>
    </row>
    <row r="13" spans="1:25" x14ac:dyDescent="0.35">
      <c r="A13" t="s">
        <v>13</v>
      </c>
      <c r="B13">
        <v>3</v>
      </c>
      <c r="C13">
        <v>1.746</v>
      </c>
      <c r="D13">
        <v>2.673</v>
      </c>
      <c r="E13">
        <v>4.532</v>
      </c>
      <c r="G13" t="s">
        <v>58</v>
      </c>
      <c r="I13">
        <f>IF(ISBLANK(NFFT_All[[#This Row],[M4+]]),"",ABS(NFFT_All[[#This Row],[M4+]]-('statistics-M4'!I16/365)))</f>
        <v>0.78811532335138568</v>
      </c>
      <c r="J13">
        <f>IF(ISBLANK(NFFT_All[[#This Row],[M5+]]),"",ABS(NFFT_All[[#This Row],[M5+]]-('statistics-M5'!$I16/365)))</f>
        <v>0.99084574967160832</v>
      </c>
      <c r="K13">
        <f>IF(ISBLANK(NFFT_All[[#This Row],[M6+]]),"",ABS(NFFT_All[[#This Row],[M6+]]-('statistics-M6'!$I16/365)))</f>
        <v>0.18843378995433735</v>
      </c>
      <c r="L13" t="str">
        <f>IF(ISBLANK(NFFT_All[[#This Row],[M7+]]),"",ABS(NFFT_All[[#This Row],[M7+]]-('statistics-M7'!$I16/365)))</f>
        <v/>
      </c>
      <c r="M13" t="e">
        <f>IF(ISBLANK(NFFT_All[[#This Row],[M8+]]),"",ABS(NFFT_All[[#This Row],[M8+]]-('statistics-M8'!$I16/365)))</f>
        <v>#VALUE!</v>
      </c>
      <c r="O13">
        <f>IF(ISBLANK(NFFT_All[[#This Row],[M4+]]),"",ABS(NFFT_All[[#This Row],[M4+]]-('statistics-M4'!$F16/365)))</f>
        <v>0.97613698630136991</v>
      </c>
      <c r="P13">
        <f>IF(ISBLANK(NFFT_All[[#This Row],[M5+]]),"",ABS(NFFT_All[[#This Row],[M5+]]-('statistics-M5'!$F16/365)))</f>
        <v>2.0319041095890409</v>
      </c>
      <c r="Q13">
        <f>IF(ISBLANK(NFFT_All[[#This Row],[M6+]]),"",ABS(NFFT_All[[#This Row],[M6+]]-('statistics-M6'!$F16/365)))</f>
        <v>3.9100821917808219</v>
      </c>
      <c r="R13" t="str">
        <f>IF(ISBLANK(NFFT_All[[#This Row],[M7+]]),"",ABS(NFFT_All[[#This Row],[M7+]]-('statistics-M7'!$F16/365)))</f>
        <v/>
      </c>
      <c r="S13" t="e">
        <f>IF(ISBLANK(NFFT_All[[#This Row],[M8+]]),"",ABS(NFFT_All[[#This Row],[M8+]]-('statistics-M8'!$F16/365)))</f>
        <v>#VALUE!</v>
      </c>
      <c r="U13">
        <f>IF(ISBLANK(NFFT_All[[#This Row],[M4+]]),"",ABS(NFFT_All[[#This Row],[M4+]]-('statistics-M4'!$J16/365)))</f>
        <v>0.91312328767123285</v>
      </c>
      <c r="V13">
        <f>IF(ISBLANK(NFFT_All[[#This Row],[M5+]]),"",ABS(NFFT_All[[#This Row],[M5+]]-('statistics-M5'!$J16/365)))</f>
        <v>1.2510821917808219</v>
      </c>
      <c r="W13">
        <f>IF(ISBLANK(NFFT_All[[#This Row],[M6+]]),"",ABS(NFFT_All[[#This Row],[M6+]]-('statistics-M6'!$J16/365)))</f>
        <v>1.6977534246575341</v>
      </c>
      <c r="X13" t="str">
        <f>IF(ISBLANK(NFFT_All[[#This Row],[M7+]]),"",ABS(NFFT_All[[#This Row],[M7+]]-('statistics-M7'!$J16/365)))</f>
        <v/>
      </c>
      <c r="Y13" t="e">
        <f>IF(ISBLANK(NFFT_All[[#This Row],[M8+]]),"",ABS(NFFT_All[[#This Row],[M8+]]-('statistics-M8'!$J16/365)))</f>
        <v>#VALUE!</v>
      </c>
    </row>
    <row r="14" spans="1:25" x14ac:dyDescent="0.35">
      <c r="A14" t="s">
        <v>14</v>
      </c>
      <c r="B14">
        <v>1</v>
      </c>
      <c r="C14">
        <v>2.4809999999999999</v>
      </c>
      <c r="D14">
        <v>2.4809999999999999</v>
      </c>
      <c r="E14">
        <v>3.0139999999999998</v>
      </c>
      <c r="F14">
        <v>8.5920000000000005</v>
      </c>
      <c r="G14" t="s">
        <v>57</v>
      </c>
      <c r="I14">
        <f>IF(ISBLANK(NFFT_All[[#This Row],[M4+]]),"",ABS(NFFT_All[[#This Row],[M4+]]-('statistics-M4'!I17/365)))</f>
        <v>1.4807173298543161</v>
      </c>
      <c r="J14">
        <f>IF(ISBLANK(NFFT_All[[#This Row],[M5+]]),"",ABS(NFFT_All[[#This Row],[M5+]]-('statistics-M5'!$I17/365)))</f>
        <v>1.4807173298543161</v>
      </c>
      <c r="K14">
        <f>IF(ISBLANK(NFFT_All[[#This Row],[M6+]]),"",ABS(NFFT_All[[#This Row],[M6+]]-('statistics-M6'!$I17/365)))</f>
        <v>1.857709940932512</v>
      </c>
      <c r="L14">
        <f>IF(ISBLANK(NFFT_All[[#This Row],[M7+]]),"",ABS(NFFT_All[[#This Row],[M7+]]-('statistics-M7'!$I17/365)))</f>
        <v>5.6694951076320947</v>
      </c>
      <c r="M14" t="e">
        <f>IF(ISBLANK(NFFT_All[[#This Row],[M8+]]),"",ABS(NFFT_All[[#This Row],[M8+]]-('statistics-M8'!$I17/365)))</f>
        <v>#VALUE!</v>
      </c>
      <c r="O14">
        <f>IF(ISBLANK(NFFT_All[[#This Row],[M4+]]),"",ABS(NFFT_All[[#This Row],[M4+]]-('statistics-M4'!$F17/365)))</f>
        <v>1.9686712328767122</v>
      </c>
      <c r="P14">
        <f>IF(ISBLANK(NFFT_All[[#This Row],[M5+]]),"",ABS(NFFT_All[[#This Row],[M5+]]-('statistics-M5'!$F17/365)))</f>
        <v>1.9686712328767122</v>
      </c>
      <c r="Q14">
        <f>IF(ISBLANK(NFFT_All[[#This Row],[M6+]]),"",ABS(NFFT_All[[#This Row],[M6+]]-('statistics-M6'!$F17/365)))</f>
        <v>2.5016712328767121</v>
      </c>
      <c r="R14">
        <f>IF(ISBLANK(NFFT_All[[#This Row],[M7+]]),"",ABS(NFFT_All[[#This Row],[M7+]]-('statistics-M7'!$F17/365)))</f>
        <v>6.5125479452054797</v>
      </c>
      <c r="S14" t="e">
        <f>IF(ISBLANK(NFFT_All[[#This Row],[M8+]]),"",ABS(NFFT_All[[#This Row],[M8+]]-('statistics-M8'!$F17/365)))</f>
        <v>#VALUE!</v>
      </c>
      <c r="U14">
        <f>IF(ISBLANK(NFFT_All[[#This Row],[M4+]]),"",ABS(NFFT_All[[#This Row],[M4+]]-('statistics-M4'!$J17/365)))</f>
        <v>1.5645616438356162</v>
      </c>
      <c r="V14">
        <f>IF(ISBLANK(NFFT_All[[#This Row],[M5+]]),"",ABS(NFFT_All[[#This Row],[M5+]]-('statistics-M5'!$J17/365)))</f>
        <v>1.5645616438356162</v>
      </c>
      <c r="W14">
        <f>IF(ISBLANK(NFFT_All[[#This Row],[M6+]]),"",ABS(NFFT_All[[#This Row],[M6+]]-('statistics-M6'!$J17/365)))</f>
        <v>2.0194794520547941</v>
      </c>
      <c r="X14">
        <f>IF(ISBLANK(NFFT_All[[#This Row],[M7+]]),"",ABS(NFFT_All[[#This Row],[M7+]]-('statistics-M7'!$J17/365)))</f>
        <v>6.3591232876712329</v>
      </c>
      <c r="Y14" t="e">
        <f>IF(ISBLANK(NFFT_All[[#This Row],[M8+]]),"",ABS(NFFT_All[[#This Row],[M8+]]-('statistics-M8'!$J17/365)))</f>
        <v>#VALUE!</v>
      </c>
    </row>
    <row r="15" spans="1:25" x14ac:dyDescent="0.35">
      <c r="A15" t="s">
        <v>14</v>
      </c>
      <c r="B15">
        <v>2</v>
      </c>
      <c r="C15">
        <v>2.4329999999999998</v>
      </c>
      <c r="D15">
        <v>3.0910000000000002</v>
      </c>
      <c r="E15">
        <v>2.335</v>
      </c>
      <c r="G15" t="s">
        <v>58</v>
      </c>
      <c r="I15">
        <f>IF(ISBLANK(NFFT_All[[#This Row],[M4+]]),"",ABS(NFFT_All[[#This Row],[M4+]]-('statistics-M4'!I18/365)))</f>
        <v>1.4196157646530427</v>
      </c>
      <c r="J15">
        <f>IF(ISBLANK(NFFT_All[[#This Row],[M5+]]),"",ABS(NFFT_All[[#This Row],[M5+]]-('statistics-M5'!$I18/365)))</f>
        <v>1.9670647571606477</v>
      </c>
      <c r="K15">
        <f>IF(ISBLANK(NFFT_All[[#This Row],[M6+]]),"",ABS(NFFT_All[[#This Row],[M6+]]-('statistics-M6'!$I18/365)))</f>
        <v>0.5168694601128121</v>
      </c>
      <c r="L15" t="str">
        <f>IF(ISBLANK(NFFT_All[[#This Row],[M7+]]),"",ABS(NFFT_All[[#This Row],[M7+]]-('statistics-M7'!$I18/365)))</f>
        <v/>
      </c>
      <c r="M15" t="e">
        <f>IF(ISBLANK(NFFT_All[[#This Row],[M8+]]),"",ABS(NFFT_All[[#This Row],[M8+]]-('statistics-M8'!$I18/365)))</f>
        <v>#VALUE!</v>
      </c>
      <c r="O15">
        <f>IF(ISBLANK(NFFT_All[[#This Row],[M4+]]),"",ABS(NFFT_All[[#This Row],[M4+]]-('statistics-M4'!$F18/365)))</f>
        <v>1.7699863013698627</v>
      </c>
      <c r="P15">
        <f>IF(ISBLANK(NFFT_All[[#This Row],[M5+]]),"",ABS(NFFT_All[[#This Row],[M5+]]-('statistics-M5'!$F18/365)))</f>
        <v>2.5594931506849319</v>
      </c>
      <c r="Q15">
        <f>IF(ISBLANK(NFFT_All[[#This Row],[M6+]]),"",ABS(NFFT_All[[#This Row],[M6+]]-('statistics-M6'!$F18/365)))</f>
        <v>1.4034931506849315</v>
      </c>
      <c r="R15" t="str">
        <f>IF(ISBLANK(NFFT_All[[#This Row],[M7+]]),"",ABS(NFFT_All[[#This Row],[M7+]]-('statistics-M7'!$F18/365)))</f>
        <v/>
      </c>
      <c r="S15" t="e">
        <f>IF(ISBLANK(NFFT_All[[#This Row],[M8+]]),"",ABS(NFFT_All[[#This Row],[M8+]]-('statistics-M8'!$F18/365)))</f>
        <v>#VALUE!</v>
      </c>
      <c r="U15">
        <f>IF(ISBLANK(NFFT_All[[#This Row],[M4+]]),"",ABS(NFFT_All[[#This Row],[M4+]]-('statistics-M4'!$J18/365)))</f>
        <v>1.6124520547945203</v>
      </c>
      <c r="V15">
        <f>IF(ISBLANK(NFFT_All[[#This Row],[M5+]]),"",ABS(NFFT_All[[#This Row],[M5+]]-('statistics-M5'!$J18/365)))</f>
        <v>2.2238767123287673</v>
      </c>
      <c r="W15">
        <f>IF(ISBLANK(NFFT_All[[#This Row],[M6+]]),"",ABS(NFFT_All[[#This Row],[M6+]]-('statistics-M6'!$J18/365)))</f>
        <v>0.9103424657534247</v>
      </c>
      <c r="X15" t="str">
        <f>IF(ISBLANK(NFFT_All[[#This Row],[M7+]]),"",ABS(NFFT_All[[#This Row],[M7+]]-('statistics-M7'!$J18/365)))</f>
        <v/>
      </c>
      <c r="Y15" t="e">
        <f>IF(ISBLANK(NFFT_All[[#This Row],[M8+]]),"",ABS(NFFT_All[[#This Row],[M8+]]-('statistics-M8'!$J18/365)))</f>
        <v>#VALUE!</v>
      </c>
    </row>
    <row r="16" spans="1:25" x14ac:dyDescent="0.35">
      <c r="A16" t="s">
        <v>14</v>
      </c>
      <c r="B16">
        <v>3</v>
      </c>
      <c r="C16">
        <v>1.85</v>
      </c>
      <c r="D16">
        <v>1.879</v>
      </c>
      <c r="G16" t="s">
        <v>58</v>
      </c>
      <c r="I16">
        <f>IF(ISBLANK(NFFT_All[[#This Row],[M4+]]),"",ABS(NFFT_All[[#This Row],[M4+]]-('statistics-M4'!I19/365)))</f>
        <v>0.3147260273972603</v>
      </c>
      <c r="J16">
        <f>IF(ISBLANK(NFFT_All[[#This Row],[M5+]]),"",ABS(NFFT_All[[#This Row],[M5+]]-('statistics-M5'!$I19/365)))</f>
        <v>0.1155205479452055</v>
      </c>
      <c r="K16" t="str">
        <f>IF(ISBLANK(NFFT_All[[#This Row],[M6+]]),"",ABS(NFFT_All[[#This Row],[M6+]]-('statistics-M6'!$I19/365)))</f>
        <v/>
      </c>
      <c r="L16" t="str">
        <f>IF(ISBLANK(NFFT_All[[#This Row],[M7+]]),"",ABS(NFFT_All[[#This Row],[M7+]]-('statistics-M7'!$I19/365)))</f>
        <v/>
      </c>
      <c r="M16" t="e">
        <f>IF(ISBLANK(NFFT_All[[#This Row],[M8+]]),"",ABS(NFFT_All[[#This Row],[M8+]]-('statistics-M8'!$I19/365)))</f>
        <v>#VALUE!</v>
      </c>
      <c r="O16">
        <f>IF(ISBLANK(NFFT_All[[#This Row],[M4+]]),"",ABS(NFFT_All[[#This Row],[M4+]]-('statistics-M4'!$F19/365)))</f>
        <v>1.239041095890411</v>
      </c>
      <c r="P16">
        <f>IF(ISBLANK(NFFT_All[[#This Row],[M5+]]),"",ABS(NFFT_All[[#This Row],[M5+]]-('statistics-M5'!$F19/365)))</f>
        <v>1.2680410958904109</v>
      </c>
      <c r="Q16" t="str">
        <f>IF(ISBLANK(NFFT_All[[#This Row],[M6+]]),"",ABS(NFFT_All[[#This Row],[M6+]]-('statistics-M6'!$F19/365)))</f>
        <v/>
      </c>
      <c r="R16" t="str">
        <f>IF(ISBLANK(NFFT_All[[#This Row],[M7+]]),"",ABS(NFFT_All[[#This Row],[M7+]]-('statistics-M7'!$F19/365)))</f>
        <v/>
      </c>
      <c r="S16" t="e">
        <f>IF(ISBLANK(NFFT_All[[#This Row],[M8+]]),"",ABS(NFFT_All[[#This Row],[M8+]]-('statistics-M8'!$F19/365)))</f>
        <v>#VALUE!</v>
      </c>
      <c r="U16">
        <f>IF(ISBLANK(NFFT_All[[#This Row],[M4+]]),"",ABS(NFFT_All[[#This Row],[M4+]]-('statistics-M4'!$J19/365)))</f>
        <v>0.88698630136986312</v>
      </c>
      <c r="V16">
        <f>IF(ISBLANK(NFFT_All[[#This Row],[M5+]]),"",ABS(NFFT_All[[#This Row],[M5+]]-('statistics-M5'!$J19/365)))</f>
        <v>0.73653424657534239</v>
      </c>
      <c r="W16" t="str">
        <f>IF(ISBLANK(NFFT_All[[#This Row],[M6+]]),"",ABS(NFFT_All[[#This Row],[M6+]]-('statistics-M6'!$J19/365)))</f>
        <v/>
      </c>
      <c r="X16" t="str">
        <f>IF(ISBLANK(NFFT_All[[#This Row],[M7+]]),"",ABS(NFFT_All[[#This Row],[M7+]]-('statistics-M7'!$J19/365)))</f>
        <v/>
      </c>
      <c r="Y16" t="e">
        <f>IF(ISBLANK(NFFT_All[[#This Row],[M8+]]),"",ABS(NFFT_All[[#This Row],[M8+]]-('statistics-M8'!$J19/365)))</f>
        <v>#VALUE!</v>
      </c>
    </row>
    <row r="17" spans="1:25" x14ac:dyDescent="0.35">
      <c r="A17" t="s">
        <v>15</v>
      </c>
      <c r="B17">
        <v>1</v>
      </c>
      <c r="C17">
        <v>2.8290000000000002</v>
      </c>
      <c r="D17">
        <v>2.621</v>
      </c>
      <c r="E17">
        <v>2.8479999999999999</v>
      </c>
      <c r="G17" t="s">
        <v>57</v>
      </c>
      <c r="I17">
        <f>IF(ISBLANK(NFFT_All[[#This Row],[M4+]]),"",ABS(NFFT_All[[#This Row],[M4+]]-('statistics-M4'!I20/365)))</f>
        <v>1.6508339390550744</v>
      </c>
      <c r="J17">
        <f>IF(ISBLANK(NFFT_All[[#This Row],[M5+]]),"",ABS(NFFT_All[[#This Row],[M5+]]-('statistics-M5'!$I20/365)))</f>
        <v>1.368945205479452</v>
      </c>
      <c r="K17">
        <f>IF(ISBLANK(NFFT_All[[#This Row],[M6+]]),"",ABS(NFFT_All[[#This Row],[M6+]]-('statistics-M6'!$I20/365)))</f>
        <v>0.94905022831050223</v>
      </c>
      <c r="L17" t="str">
        <f>IF(ISBLANK(NFFT_All[[#This Row],[M7+]]),"",ABS(NFFT_All[[#This Row],[M7+]]-('statistics-M7'!$I20/365)))</f>
        <v/>
      </c>
      <c r="M17" t="e">
        <f>IF(ISBLANK(NFFT_All[[#This Row],[M8+]]),"",ABS(NFFT_All[[#This Row],[M8+]]-('statistics-M8'!$I20/365)))</f>
        <v>#VALUE!</v>
      </c>
      <c r="O17">
        <f>IF(ISBLANK(NFFT_All[[#This Row],[M4+]]),"",ABS(NFFT_All[[#This Row],[M4+]]-('statistics-M4'!$F20/365)))</f>
        <v>1.9906438356164387</v>
      </c>
      <c r="P17">
        <f>IF(ISBLANK(NFFT_All[[#This Row],[M5+]]),"",ABS(NFFT_All[[#This Row],[M5+]]-('statistics-M5'!$F20/365)))</f>
        <v>1.7826438356164385</v>
      </c>
      <c r="Q17">
        <f>IF(ISBLANK(NFFT_All[[#This Row],[M6+]]),"",ABS(NFFT_All[[#This Row],[M6+]]-('statistics-M6'!$F20/365)))</f>
        <v>2.2096438356164381</v>
      </c>
      <c r="R17" t="str">
        <f>IF(ISBLANK(NFFT_All[[#This Row],[M7+]]),"",ABS(NFFT_All[[#This Row],[M7+]]-('statistics-M7'!$F20/365)))</f>
        <v/>
      </c>
      <c r="S17" t="e">
        <f>IF(ISBLANK(NFFT_All[[#This Row],[M8+]]),"",ABS(NFFT_All[[#This Row],[M8+]]-('statistics-M8'!$F20/365)))</f>
        <v>#VALUE!</v>
      </c>
      <c r="U17">
        <f>IF(ISBLANK(NFFT_All[[#This Row],[M4+]]),"",ABS(NFFT_All[[#This Row],[M4+]]-('statistics-M4'!$J20/365)))</f>
        <v>1.9153013698630139</v>
      </c>
      <c r="V17">
        <f>IF(ISBLANK(NFFT_All[[#This Row],[M5+]]),"",ABS(NFFT_All[[#This Row],[M5+]]-('statistics-M5'!$J20/365)))</f>
        <v>1.6483972602739727</v>
      </c>
      <c r="W17">
        <f>IF(ISBLANK(NFFT_All[[#This Row],[M6+]]),"",ABS(NFFT_All[[#This Row],[M6+]]-('statistics-M6'!$J20/365)))</f>
        <v>1.4301917808219178</v>
      </c>
      <c r="X17" t="str">
        <f>IF(ISBLANK(NFFT_All[[#This Row],[M7+]]),"",ABS(NFFT_All[[#This Row],[M7+]]-('statistics-M7'!$J20/365)))</f>
        <v/>
      </c>
      <c r="Y17" t="e">
        <f>IF(ISBLANK(NFFT_All[[#This Row],[M8+]]),"",ABS(NFFT_All[[#This Row],[M8+]]-('statistics-M8'!$J20/365)))</f>
        <v>#VALUE!</v>
      </c>
    </row>
    <row r="18" spans="1:25" x14ac:dyDescent="0.35">
      <c r="A18" t="s">
        <v>15</v>
      </c>
      <c r="B18">
        <v>2</v>
      </c>
      <c r="C18">
        <v>1.7569999999999999</v>
      </c>
      <c r="G18" t="s">
        <v>58</v>
      </c>
      <c r="I18">
        <f>IF(ISBLANK(NFFT_All[[#This Row],[M4+]]),"",ABS(NFFT_All[[#This Row],[M4+]]-('statistics-M4'!I21/365)))</f>
        <v>7.0159023228112183E-2</v>
      </c>
      <c r="J18" t="str">
        <f>IF(ISBLANK(NFFT_All[[#This Row],[M5+]]),"",ABS(NFFT_All[[#This Row],[M5+]]-('statistics-M5'!$I21/365)))</f>
        <v/>
      </c>
      <c r="K18" t="str">
        <f>IF(ISBLANK(NFFT_All[[#This Row],[M6+]]),"",ABS(NFFT_All[[#This Row],[M6+]]-('statistics-M6'!$I21/365)))</f>
        <v/>
      </c>
      <c r="L18" t="str">
        <f>IF(ISBLANK(NFFT_All[[#This Row],[M7+]]),"",ABS(NFFT_All[[#This Row],[M7+]]-('statistics-M7'!$I21/365)))</f>
        <v/>
      </c>
      <c r="M18" t="e">
        <f>IF(ISBLANK(NFFT_All[[#This Row],[M8+]]),"",ABS(NFFT_All[[#This Row],[M8+]]-('statistics-M8'!$I21/365)))</f>
        <v>#VALUE!</v>
      </c>
      <c r="O18">
        <f>IF(ISBLANK(NFFT_All[[#This Row],[M4+]]),"",ABS(NFFT_All[[#This Row],[M4+]]-('statistics-M4'!$F21/365)))</f>
        <v>0.8172739726027396</v>
      </c>
      <c r="P18" t="str">
        <f>IF(ISBLANK(NFFT_All[[#This Row],[M5+]]),"",ABS(NFFT_All[[#This Row],[M5+]]-('statistics-M5'!$F21/365)))</f>
        <v/>
      </c>
      <c r="Q18" t="str">
        <f>IF(ISBLANK(NFFT_All[[#This Row],[M6+]]),"",ABS(NFFT_All[[#This Row],[M6+]]-('statistics-M6'!$F21/365)))</f>
        <v/>
      </c>
      <c r="R18" t="str">
        <f>IF(ISBLANK(NFFT_All[[#This Row],[M7+]]),"",ABS(NFFT_All[[#This Row],[M7+]]-('statistics-M7'!$F21/365)))</f>
        <v/>
      </c>
      <c r="S18" t="e">
        <f>IF(ISBLANK(NFFT_All[[#This Row],[M8+]]),"",ABS(NFFT_All[[#This Row],[M8+]]-('statistics-M8'!$F21/365)))</f>
        <v>#VALUE!</v>
      </c>
      <c r="U18">
        <f>IF(ISBLANK(NFFT_All[[#This Row],[M4+]]),"",ABS(NFFT_All[[#This Row],[M4+]]-('statistics-M4'!$J21/365)))</f>
        <v>0.65699999999999981</v>
      </c>
      <c r="V18" t="str">
        <f>IF(ISBLANK(NFFT_All[[#This Row],[M5+]]),"",ABS(NFFT_All[[#This Row],[M5+]]-('statistics-M5'!$J21/365)))</f>
        <v/>
      </c>
      <c r="W18" t="str">
        <f>IF(ISBLANK(NFFT_All[[#This Row],[M6+]]),"",ABS(NFFT_All[[#This Row],[M6+]]-('statistics-M6'!$J21/365)))</f>
        <v/>
      </c>
      <c r="X18" t="str">
        <f>IF(ISBLANK(NFFT_All[[#This Row],[M7+]]),"",ABS(NFFT_All[[#This Row],[M7+]]-('statistics-M7'!$J21/365)))</f>
        <v/>
      </c>
      <c r="Y18" t="e">
        <f>IF(ISBLANK(NFFT_All[[#This Row],[M8+]]),"",ABS(NFFT_All[[#This Row],[M8+]]-('statistics-M8'!$J21/365)))</f>
        <v>#VALUE!</v>
      </c>
    </row>
    <row r="19" spans="1:25" x14ac:dyDescent="0.35">
      <c r="A19" t="s">
        <v>15</v>
      </c>
      <c r="B19">
        <v>3</v>
      </c>
      <c r="C19">
        <v>2.423</v>
      </c>
      <c r="G19" t="s">
        <v>58</v>
      </c>
      <c r="I19">
        <f>IF(ISBLANK(NFFT_All[[#This Row],[M4+]]),"",ABS(NFFT_All[[#This Row],[M4+]]-('statistics-M4'!I22/365)))</f>
        <v>0.12768493150684934</v>
      </c>
      <c r="J19" t="str">
        <f>IF(ISBLANK(NFFT_All[[#This Row],[M5+]]),"",ABS(NFFT_All[[#This Row],[M5+]]-('statistics-M5'!$I22/365)))</f>
        <v/>
      </c>
      <c r="K19" t="str">
        <f>IF(ISBLANK(NFFT_All[[#This Row],[M6+]]),"",ABS(NFFT_All[[#This Row],[M6+]]-('statistics-M6'!$I22/365)))</f>
        <v/>
      </c>
      <c r="L19" t="str">
        <f>IF(ISBLANK(NFFT_All[[#This Row],[M7+]]),"",ABS(NFFT_All[[#This Row],[M7+]]-('statistics-M7'!$I22/365)))</f>
        <v/>
      </c>
      <c r="M19" t="e">
        <f>IF(ISBLANK(NFFT_All[[#This Row],[M8+]]),"",ABS(NFFT_All[[#This Row],[M8+]]-('statistics-M8'!$I22/365)))</f>
        <v>#VALUE!</v>
      </c>
      <c r="O19">
        <f>IF(ISBLANK(NFFT_All[[#This Row],[M4+]]),"",ABS(NFFT_All[[#This Row],[M4+]]-('statistics-M4'!$F22/365)))</f>
        <v>1.7545068493150686</v>
      </c>
      <c r="P19" t="str">
        <f>IF(ISBLANK(NFFT_All[[#This Row],[M5+]]),"",ABS(NFFT_All[[#This Row],[M5+]]-('statistics-M5'!$F22/365)))</f>
        <v/>
      </c>
      <c r="Q19" t="str">
        <f>IF(ISBLANK(NFFT_All[[#This Row],[M6+]]),"",ABS(NFFT_All[[#This Row],[M6+]]-('statistics-M6'!$F22/365)))</f>
        <v/>
      </c>
      <c r="R19" t="str">
        <f>IF(ISBLANK(NFFT_All[[#This Row],[M7+]]),"",ABS(NFFT_All[[#This Row],[M7+]]-('statistics-M7'!$F22/365)))</f>
        <v/>
      </c>
      <c r="S19" t="e">
        <f>IF(ISBLANK(NFFT_All[[#This Row],[M8+]]),"",ABS(NFFT_All[[#This Row],[M8+]]-('statistics-M8'!$F22/365)))</f>
        <v>#VALUE!</v>
      </c>
      <c r="U19">
        <f>IF(ISBLANK(NFFT_All[[#This Row],[M4+]]),"",ABS(NFFT_All[[#This Row],[M4+]]-('statistics-M4'!$J22/365)))</f>
        <v>0.71615068493150691</v>
      </c>
      <c r="V19" t="str">
        <f>IF(ISBLANK(NFFT_All[[#This Row],[M5+]]),"",ABS(NFFT_All[[#This Row],[M5+]]-('statistics-M5'!$J22/365)))</f>
        <v/>
      </c>
      <c r="W19" t="str">
        <f>IF(ISBLANK(NFFT_All[[#This Row],[M6+]]),"",ABS(NFFT_All[[#This Row],[M6+]]-('statistics-M6'!$J22/365)))</f>
        <v/>
      </c>
      <c r="X19" t="str">
        <f>IF(ISBLANK(NFFT_All[[#This Row],[M7+]]),"",ABS(NFFT_All[[#This Row],[M7+]]-('statistics-M7'!$J22/365)))</f>
        <v/>
      </c>
      <c r="Y19" t="e">
        <f>IF(ISBLANK(NFFT_All[[#This Row],[M8+]]),"",ABS(NFFT_All[[#This Row],[M8+]]-('statistics-M8'!$J22/365)))</f>
        <v>#VALUE!</v>
      </c>
    </row>
    <row r="20" spans="1:25" x14ac:dyDescent="0.35">
      <c r="A20" t="s">
        <v>16</v>
      </c>
      <c r="B20">
        <v>1</v>
      </c>
      <c r="C20">
        <v>2.0710000000000002</v>
      </c>
      <c r="D20">
        <v>2.0710000000000002</v>
      </c>
      <c r="E20">
        <v>2.78</v>
      </c>
      <c r="G20" t="s">
        <v>57</v>
      </c>
      <c r="I20">
        <f>IF(ISBLANK(NFFT_All[[#This Row],[M4+]]),"",ABS(NFFT_All[[#This Row],[M4+]]-('statistics-M4'!I23/365)))</f>
        <v>0.81584571744845746</v>
      </c>
      <c r="J20">
        <f>IF(ISBLANK(NFFT_All[[#This Row],[M5+]]),"",ABS(NFFT_All[[#This Row],[M5+]]-('statistics-M5'!$I23/365)))</f>
        <v>0.81584571744845746</v>
      </c>
      <c r="K20">
        <f>IF(ISBLANK(NFFT_All[[#This Row],[M6+]]),"",ABS(NFFT_All[[#This Row],[M6+]]-('statistics-M6'!$I23/365)))</f>
        <v>0.28327089740005551</v>
      </c>
      <c r="L20" t="str">
        <f>IF(ISBLANK(NFFT_All[[#This Row],[M7+]]),"",ABS(NFFT_All[[#This Row],[M7+]]-('statistics-M7'!$I23/365)))</f>
        <v/>
      </c>
      <c r="M20" t="e">
        <f>IF(ISBLANK(NFFT_All[[#This Row],[M8+]]),"",ABS(NFFT_All[[#This Row],[M8+]]-('statistics-M8'!$I23/365)))</f>
        <v>#VALUE!</v>
      </c>
      <c r="O20">
        <f>IF(ISBLANK(NFFT_All[[#This Row],[M4+]]),"",ABS(NFFT_All[[#This Row],[M4+]]-('statistics-M4'!$F23/365)))</f>
        <v>1.5668904109589041</v>
      </c>
      <c r="P20">
        <f>IF(ISBLANK(NFFT_All[[#This Row],[M5+]]),"",ABS(NFFT_All[[#This Row],[M5+]]-('statistics-M5'!$F23/365)))</f>
        <v>1.5668904109589041</v>
      </c>
      <c r="Q20">
        <f>IF(ISBLANK(NFFT_All[[#This Row],[M6+]]),"",ABS(NFFT_All[[#This Row],[M6+]]-('statistics-M6'!$F23/365)))</f>
        <v>1.9060273972602739</v>
      </c>
      <c r="R20" t="str">
        <f>IF(ISBLANK(NFFT_All[[#This Row],[M7+]]),"",ABS(NFFT_All[[#This Row],[M7+]]-('statistics-M7'!$F23/365)))</f>
        <v/>
      </c>
      <c r="S20" t="e">
        <f>IF(ISBLANK(NFFT_All[[#This Row],[M8+]]),"",ABS(NFFT_All[[#This Row],[M8+]]-('statistics-M8'!$F23/365)))</f>
        <v>#VALUE!</v>
      </c>
      <c r="U20">
        <f>IF(ISBLANK(NFFT_All[[#This Row],[M4+]]),"",ABS(NFFT_All[[#This Row],[M4+]]-('statistics-M4'!$J23/365)))</f>
        <v>1.1805890410958906</v>
      </c>
      <c r="V20">
        <f>IF(ISBLANK(NFFT_All[[#This Row],[M5+]]),"",ABS(NFFT_All[[#This Row],[M5+]]-('statistics-M5'!$J23/365)))</f>
        <v>1.1805890410958906</v>
      </c>
      <c r="W20">
        <f>IF(ISBLANK(NFFT_All[[#This Row],[M6+]]),"",ABS(NFFT_All[[#This Row],[M6+]]-('statistics-M6'!$J23/365)))</f>
        <v>1.1224657534246574</v>
      </c>
      <c r="X20" t="str">
        <f>IF(ISBLANK(NFFT_All[[#This Row],[M7+]]),"",ABS(NFFT_All[[#This Row],[M7+]]-('statistics-M7'!$J23/365)))</f>
        <v/>
      </c>
      <c r="Y20" t="e">
        <f>IF(ISBLANK(NFFT_All[[#This Row],[M8+]]),"",ABS(NFFT_All[[#This Row],[M8+]]-('statistics-M8'!$J23/365)))</f>
        <v>#VALUE!</v>
      </c>
    </row>
    <row r="21" spans="1:25" x14ac:dyDescent="0.35">
      <c r="A21" t="s">
        <v>16</v>
      </c>
      <c r="B21">
        <v>2</v>
      </c>
      <c r="G21" t="s">
        <v>58</v>
      </c>
      <c r="I21" t="str">
        <f>IF(ISBLANK(NFFT_All[[#This Row],[M4+]]),"",ABS(NFFT_All[[#This Row],[M4+]]-('statistics-M4'!I24/365)))</f>
        <v/>
      </c>
      <c r="J21" t="str">
        <f>IF(ISBLANK(NFFT_All[[#This Row],[M5+]]),"",ABS(NFFT_All[[#This Row],[M5+]]-('statistics-M5'!$I24/365)))</f>
        <v/>
      </c>
      <c r="K21" t="str">
        <f>IF(ISBLANK(NFFT_All[[#This Row],[M6+]]),"",ABS(NFFT_All[[#This Row],[M6+]]-('statistics-M6'!$I24/365)))</f>
        <v/>
      </c>
      <c r="L21" t="str">
        <f>IF(ISBLANK(NFFT_All[[#This Row],[M7+]]),"",ABS(NFFT_All[[#This Row],[M7+]]-('statistics-M7'!$I24/365)))</f>
        <v/>
      </c>
      <c r="M21" t="e">
        <f>IF(ISBLANK(NFFT_All[[#This Row],[M8+]]),"",ABS(NFFT_All[[#This Row],[M8+]]-('statistics-M8'!$I24/365)))</f>
        <v>#VALUE!</v>
      </c>
      <c r="O21" t="str">
        <f>IF(ISBLANK(NFFT_All[[#This Row],[M4+]]),"",ABS(NFFT_All[[#This Row],[M4+]]-('statistics-M4'!$F24/365)))</f>
        <v/>
      </c>
      <c r="P21" t="str">
        <f>IF(ISBLANK(NFFT_All[[#This Row],[M5+]]),"",ABS(NFFT_All[[#This Row],[M5+]]-('statistics-M5'!$F24/365)))</f>
        <v/>
      </c>
      <c r="Q21" t="str">
        <f>IF(ISBLANK(NFFT_All[[#This Row],[M6+]]),"",ABS(NFFT_All[[#This Row],[M6+]]-('statistics-M6'!$F24/365)))</f>
        <v/>
      </c>
      <c r="R21" t="str">
        <f>IF(ISBLANK(NFFT_All[[#This Row],[M7+]]),"",ABS(NFFT_All[[#This Row],[M7+]]-('statistics-M7'!$F24/365)))</f>
        <v/>
      </c>
      <c r="S21" t="e">
        <f>IF(ISBLANK(NFFT_All[[#This Row],[M8+]]),"",ABS(NFFT_All[[#This Row],[M8+]]-('statistics-M8'!$F24/365)))</f>
        <v>#VALUE!</v>
      </c>
      <c r="U21" t="str">
        <f>IF(ISBLANK(NFFT_All[[#This Row],[M4+]]),"",ABS(NFFT_All[[#This Row],[M4+]]-('statistics-M4'!$J24/365)))</f>
        <v/>
      </c>
      <c r="V21" t="str">
        <f>IF(ISBLANK(NFFT_All[[#This Row],[M5+]]),"",ABS(NFFT_All[[#This Row],[M5+]]-('statistics-M5'!$J24/365)))</f>
        <v/>
      </c>
      <c r="W21" t="str">
        <f>IF(ISBLANK(NFFT_All[[#This Row],[M6+]]),"",ABS(NFFT_All[[#This Row],[M6+]]-('statistics-M6'!$J24/365)))</f>
        <v/>
      </c>
      <c r="X21" t="str">
        <f>IF(ISBLANK(NFFT_All[[#This Row],[M7+]]),"",ABS(NFFT_All[[#This Row],[M7+]]-('statistics-M7'!$J24/365)))</f>
        <v/>
      </c>
      <c r="Y21" t="e">
        <f>IF(ISBLANK(NFFT_All[[#This Row],[M8+]]),"",ABS(NFFT_All[[#This Row],[M8+]]-('statistics-M8'!$J24/365)))</f>
        <v>#VALUE!</v>
      </c>
    </row>
    <row r="22" spans="1:25" x14ac:dyDescent="0.35">
      <c r="A22" t="s">
        <v>17</v>
      </c>
      <c r="B22">
        <v>1</v>
      </c>
      <c r="C22">
        <v>1.54</v>
      </c>
      <c r="D22">
        <v>1.54</v>
      </c>
      <c r="E22">
        <v>1.905</v>
      </c>
      <c r="F22">
        <v>2.488</v>
      </c>
      <c r="G22" t="s">
        <v>57</v>
      </c>
      <c r="I22">
        <f>IF(ISBLANK(NFFT_All[[#This Row],[M4+]]),"",ABS(NFFT_All[[#This Row],[M4+]]-('statistics-M4'!I26/365)))</f>
        <v>0.69912475866507306</v>
      </c>
      <c r="J22">
        <f>IF(ISBLANK(NFFT_All[[#This Row],[M5+]]),"",ABS(NFFT_All[[#This Row],[M5+]]-('statistics-M5'!$I26/365)))</f>
        <v>0.69912475866507306</v>
      </c>
      <c r="K22">
        <f>IF(ISBLANK(NFFT_All[[#This Row],[M6+]]),"",ABS(NFFT_All[[#This Row],[M6+]]-('statistics-M6'!$I26/365)))</f>
        <v>1.0409282002834201</v>
      </c>
      <c r="L22">
        <f>IF(ISBLANK(NFFT_All[[#This Row],[M7+]]),"",ABS(NFFT_All[[#This Row],[M7+]]-('statistics-M7'!$I26/365)))</f>
        <v>0.22618181818181782</v>
      </c>
      <c r="M22" t="e">
        <f>IF(ISBLANK(NFFT_All[[#This Row],[M8+]]),"",ABS(NFFT_All[[#This Row],[M8+]]-('statistics-M8'!$I26/365)))</f>
        <v>#VALUE!</v>
      </c>
      <c r="O22">
        <f>IF(ISBLANK(NFFT_All[[#This Row],[M4+]]),"",ABS(NFFT_All[[#This Row],[M4+]]-('statistics-M4'!$F26/365)))</f>
        <v>1.0276712328767124</v>
      </c>
      <c r="P22">
        <f>IF(ISBLANK(NFFT_All[[#This Row],[M5+]]),"",ABS(NFFT_All[[#This Row],[M5+]]-('statistics-M5'!$F26/365)))</f>
        <v>1.0276712328767124</v>
      </c>
      <c r="Q22">
        <f>IF(ISBLANK(NFFT_All[[#This Row],[M6+]]),"",ABS(NFFT_All[[#This Row],[M6+]]-('statistics-M6'!$F26/365)))</f>
        <v>1.3926712328767124</v>
      </c>
      <c r="R22">
        <f>IF(ISBLANK(NFFT_All[[#This Row],[M7+]]),"",ABS(NFFT_All[[#This Row],[M7+]]-('statistics-M7'!$F26/365)))</f>
        <v>1.2633424657534247</v>
      </c>
      <c r="S22" t="e">
        <f>IF(ISBLANK(NFFT_All[[#This Row],[M8+]]),"",ABS(NFFT_All[[#This Row],[M8+]]-('statistics-M8'!$F26/365)))</f>
        <v>#VALUE!</v>
      </c>
      <c r="U22">
        <f>IF(ISBLANK(NFFT_All[[#This Row],[M4+]]),"",ABS(NFFT_All[[#This Row],[M4+]]-('statistics-M4'!$J26/365)))</f>
        <v>0.78109589041095895</v>
      </c>
      <c r="V22">
        <f>IF(ISBLANK(NFFT_All[[#This Row],[M5+]]),"",ABS(NFFT_All[[#This Row],[M5+]]-('statistics-M5'!$J26/365)))</f>
        <v>0.78109589041095895</v>
      </c>
      <c r="W22">
        <f>IF(ISBLANK(NFFT_All[[#This Row],[M6+]]),"",ABS(NFFT_All[[#This Row],[M6+]]-('statistics-M6'!$J26/365)))</f>
        <v>1.1241780821917808</v>
      </c>
      <c r="X22">
        <f>IF(ISBLANK(NFFT_All[[#This Row],[M7+]]),"",ABS(NFFT_All[[#This Row],[M7+]]-('statistics-M7'!$J26/365)))</f>
        <v>0.80306849315068485</v>
      </c>
      <c r="Y22" t="e">
        <f>IF(ISBLANK(NFFT_All[[#This Row],[M8+]]),"",ABS(NFFT_All[[#This Row],[M8+]]-('statistics-M8'!$J26/365)))</f>
        <v>#VALUE!</v>
      </c>
    </row>
    <row r="23" spans="1:25" x14ac:dyDescent="0.35">
      <c r="A23" t="s">
        <v>17</v>
      </c>
      <c r="B23">
        <v>2</v>
      </c>
      <c r="C23">
        <v>2.395</v>
      </c>
      <c r="G23" t="s">
        <v>58</v>
      </c>
      <c r="I23">
        <f>IF(ISBLANK(NFFT_All[[#This Row],[M4+]]),"",ABS(NFFT_All[[#This Row],[M4+]]-('statistics-M4'!I27/365)))</f>
        <v>0.73667267483777943</v>
      </c>
      <c r="J23" t="str">
        <f>IF(ISBLANK(NFFT_All[[#This Row],[M5+]]),"",ABS(NFFT_All[[#This Row],[M5+]]-('statistics-M5'!$I27/365)))</f>
        <v/>
      </c>
      <c r="K23" t="str">
        <f>IF(ISBLANK(NFFT_All[[#This Row],[M6+]]),"",ABS(NFFT_All[[#This Row],[M6+]]-('statistics-M6'!$I27/365)))</f>
        <v/>
      </c>
      <c r="L23" t="str">
        <f>IF(ISBLANK(NFFT_All[[#This Row],[M7+]]),"",ABS(NFFT_All[[#This Row],[M7+]]-('statistics-M7'!$I27/365)))</f>
        <v/>
      </c>
      <c r="M23" t="e">
        <f>IF(ISBLANK(NFFT_All[[#This Row],[M8+]]),"",ABS(NFFT_All[[#This Row],[M8+]]-('statistics-M8'!$I27/365)))</f>
        <v>#VALUE!</v>
      </c>
      <c r="O23">
        <f>IF(ISBLANK(NFFT_All[[#This Row],[M4+]]),"",ABS(NFFT_All[[#This Row],[M4+]]-('statistics-M4'!$F27/365)))</f>
        <v>1.6963698630136985</v>
      </c>
      <c r="P23" t="str">
        <f>IF(ISBLANK(NFFT_All[[#This Row],[M5+]]),"",ABS(NFFT_All[[#This Row],[M5+]]-('statistics-M5'!$F27/365)))</f>
        <v/>
      </c>
      <c r="Q23" t="str">
        <f>IF(ISBLANK(NFFT_All[[#This Row],[M6+]]),"",ABS(NFFT_All[[#This Row],[M6+]]-('statistics-M6'!$F27/365)))</f>
        <v/>
      </c>
      <c r="R23" t="str">
        <f>IF(ISBLANK(NFFT_All[[#This Row],[M7+]]),"",ABS(NFFT_All[[#This Row],[M7+]]-('statistics-M7'!$F27/365)))</f>
        <v/>
      </c>
      <c r="S23" t="e">
        <f>IF(ISBLANK(NFFT_All[[#This Row],[M8+]]),"",ABS(NFFT_All[[#This Row],[M8+]]-('statistics-M8'!$F27/365)))</f>
        <v>#VALUE!</v>
      </c>
      <c r="U23">
        <f>IF(ISBLANK(NFFT_All[[#This Row],[M4+]]),"",ABS(NFFT_All[[#This Row],[M4+]]-('statistics-M4'!$J27/365)))</f>
        <v>1.6922602739726027</v>
      </c>
      <c r="V23" t="str">
        <f>IF(ISBLANK(NFFT_All[[#This Row],[M5+]]),"",ABS(NFFT_All[[#This Row],[M5+]]-('statistics-M5'!$J27/365)))</f>
        <v/>
      </c>
      <c r="W23" t="str">
        <f>IF(ISBLANK(NFFT_All[[#This Row],[M6+]]),"",ABS(NFFT_All[[#This Row],[M6+]]-('statistics-M6'!$J27/365)))</f>
        <v/>
      </c>
      <c r="X23" t="str">
        <f>IF(ISBLANK(NFFT_All[[#This Row],[M7+]]),"",ABS(NFFT_All[[#This Row],[M7+]]-('statistics-M7'!$J27/365)))</f>
        <v/>
      </c>
      <c r="Y23" t="e">
        <f>IF(ISBLANK(NFFT_All[[#This Row],[M8+]]),"",ABS(NFFT_All[[#This Row],[M8+]]-('statistics-M8'!$J27/365)))</f>
        <v>#VALUE!</v>
      </c>
    </row>
    <row r="24" spans="1:25" x14ac:dyDescent="0.35">
      <c r="A24" t="s">
        <v>17</v>
      </c>
      <c r="B24">
        <v>3</v>
      </c>
      <c r="C24">
        <v>2.472</v>
      </c>
      <c r="D24">
        <v>4.5460000000000003</v>
      </c>
      <c r="G24" t="s">
        <v>58</v>
      </c>
      <c r="I24">
        <f>IF(ISBLANK(NFFT_All[[#This Row],[M4+]]),"",ABS(NFFT_All[[#This Row],[M4+]]-('statistics-M4'!I28/365)))</f>
        <v>0.51085021333932179</v>
      </c>
      <c r="J24">
        <f>IF(ISBLANK(NFFT_All[[#This Row],[M5+]]),"",ABS(NFFT_All[[#This Row],[M5+]]-('statistics-M5'!$I28/365)))</f>
        <v>1.3127530544242871</v>
      </c>
      <c r="K24" t="str">
        <f>IF(ISBLANK(NFFT_All[[#This Row],[M6+]]),"",ABS(NFFT_All[[#This Row],[M6+]]-('statistics-M6'!$I28/365)))</f>
        <v/>
      </c>
      <c r="L24" t="str">
        <f>IF(ISBLANK(NFFT_All[[#This Row],[M7+]]),"",ABS(NFFT_All[[#This Row],[M7+]]-('statistics-M7'!$I28/365)))</f>
        <v/>
      </c>
      <c r="M24" t="e">
        <f>IF(ISBLANK(NFFT_All[[#This Row],[M8+]]),"",ABS(NFFT_All[[#This Row],[M8+]]-('statistics-M8'!$I28/365)))</f>
        <v>#VALUE!</v>
      </c>
      <c r="O24">
        <f>IF(ISBLANK(NFFT_All[[#This Row],[M4+]]),"",ABS(NFFT_All[[#This Row],[M4+]]-('statistics-M4'!$F28/365)))</f>
        <v>1.2007671232876711</v>
      </c>
      <c r="P24">
        <f>IF(ISBLANK(NFFT_All[[#This Row],[M5+]]),"",ABS(NFFT_All[[#This Row],[M5+]]-('statistics-M5'!$F28/365)))</f>
        <v>4.0199726027397267</v>
      </c>
      <c r="Q24" t="str">
        <f>IF(ISBLANK(NFFT_All[[#This Row],[M6+]]),"",ABS(NFFT_All[[#This Row],[M6+]]-('statistics-M6'!$F28/365)))</f>
        <v/>
      </c>
      <c r="R24" t="str">
        <f>IF(ISBLANK(NFFT_All[[#This Row],[M7+]]),"",ABS(NFFT_All[[#This Row],[M7+]]-('statistics-M7'!$F28/365)))</f>
        <v/>
      </c>
      <c r="S24" t="e">
        <f>IF(ISBLANK(NFFT_All[[#This Row],[M8+]]),"",ABS(NFFT_All[[#This Row],[M8+]]-('statistics-M8'!$F28/365)))</f>
        <v>#VALUE!</v>
      </c>
      <c r="U24">
        <f>IF(ISBLANK(NFFT_All[[#This Row],[M4+]]),"",ABS(NFFT_All[[#This Row],[M4+]]-('statistics-M4'!$J28/365)))</f>
        <v>1.5404931506849315</v>
      </c>
      <c r="V24">
        <f>IF(ISBLANK(NFFT_All[[#This Row],[M5+]]),"",ABS(NFFT_All[[#This Row],[M5+]]-('statistics-M5'!$J28/365)))</f>
        <v>3.2747671232876714</v>
      </c>
      <c r="W24" t="str">
        <f>IF(ISBLANK(NFFT_All[[#This Row],[M6+]]),"",ABS(NFFT_All[[#This Row],[M6+]]-('statistics-M6'!$J28/365)))</f>
        <v/>
      </c>
      <c r="X24" t="str">
        <f>IF(ISBLANK(NFFT_All[[#This Row],[M7+]]),"",ABS(NFFT_All[[#This Row],[M7+]]-('statistics-M7'!$J28/365)))</f>
        <v/>
      </c>
      <c r="Y24" t="e">
        <f>IF(ISBLANK(NFFT_All[[#This Row],[M8+]]),"",ABS(NFFT_All[[#This Row],[M8+]]-('statistics-M8'!$J28/365)))</f>
        <v>#VALUE!</v>
      </c>
    </row>
    <row r="25" spans="1:25" x14ac:dyDescent="0.35">
      <c r="A25" t="s">
        <v>18</v>
      </c>
      <c r="B25">
        <v>1</v>
      </c>
      <c r="C25">
        <v>2.6219999999999999</v>
      </c>
      <c r="D25">
        <v>2.6219999999999999</v>
      </c>
      <c r="E25">
        <v>6.6829999999999998</v>
      </c>
      <c r="G25" t="s">
        <v>57</v>
      </c>
      <c r="I25">
        <f>IF(ISBLANK(NFFT_All[[#This Row],[M4+]]),"",ABS(NFFT_All[[#This Row],[M4+]]-('statistics-M4'!I29/365)))</f>
        <v>1.4005162077851618</v>
      </c>
      <c r="J25">
        <f>IF(ISBLANK(NFFT_All[[#This Row],[M5+]]),"",ABS(NFFT_All[[#This Row],[M5+]]-('statistics-M5'!$I29/365)))</f>
        <v>1.4005162077851618</v>
      </c>
      <c r="K25">
        <f>IF(ISBLANK(NFFT_All[[#This Row],[M6+]]),"",ABS(NFFT_All[[#This Row],[M6+]]-('statistics-M6'!$I29/365)))</f>
        <v>3.8573867473717747</v>
      </c>
      <c r="L25" t="str">
        <f>IF(ISBLANK(NFFT_All[[#This Row],[M7+]]),"",ABS(NFFT_All[[#This Row],[M7+]]-('statistics-M7'!$I29/365)))</f>
        <v/>
      </c>
      <c r="M25" t="e">
        <f>IF(ISBLANK(NFFT_All[[#This Row],[M8+]]),"",ABS(NFFT_All[[#This Row],[M8+]]-('statistics-M8'!$I29/365)))</f>
        <v>#VALUE!</v>
      </c>
      <c r="O25">
        <f>IF(ISBLANK(NFFT_All[[#This Row],[M4+]]),"",ABS(NFFT_All[[#This Row],[M4+]]-('statistics-M4'!$F29/365)))</f>
        <v>2.0932328767123285</v>
      </c>
      <c r="P25">
        <f>IF(ISBLANK(NFFT_All[[#This Row],[M5+]]),"",ABS(NFFT_All[[#This Row],[M5+]]-('statistics-M5'!$F29/365)))</f>
        <v>2.0932328767123285</v>
      </c>
      <c r="Q25">
        <f>IF(ISBLANK(NFFT_All[[#This Row],[M6+]]),"",ABS(NFFT_All[[#This Row],[M6+]]-('statistics-M6'!$F29/365)))</f>
        <v>2.0939589041095887</v>
      </c>
      <c r="R25" t="str">
        <f>IF(ISBLANK(NFFT_All[[#This Row],[M7+]]),"",ABS(NFFT_All[[#This Row],[M7+]]-('statistics-M7'!$F29/365)))</f>
        <v/>
      </c>
      <c r="S25" t="e">
        <f>IF(ISBLANK(NFFT_All[[#This Row],[M8+]]),"",ABS(NFFT_All[[#This Row],[M8+]]-('statistics-M8'!$F29/365)))</f>
        <v>#VALUE!</v>
      </c>
      <c r="U25">
        <f>IF(ISBLANK(NFFT_All[[#This Row],[M4+]]),"",ABS(NFFT_All[[#This Row],[M4+]]-('statistics-M4'!$J29/365)))</f>
        <v>1.7370684931506848</v>
      </c>
      <c r="V25">
        <f>IF(ISBLANK(NFFT_All[[#This Row],[M5+]]),"",ABS(NFFT_All[[#This Row],[M5+]]-('statistics-M5'!$J29/365)))</f>
        <v>1.7370684931506848</v>
      </c>
      <c r="W25">
        <f>IF(ISBLANK(NFFT_All[[#This Row],[M6+]]),"",ABS(NFFT_All[[#This Row],[M6+]]-('statistics-M6'!$J29/365)))</f>
        <v>4.9158767123287674</v>
      </c>
      <c r="X25" t="str">
        <f>IF(ISBLANK(NFFT_All[[#This Row],[M7+]]),"",ABS(NFFT_All[[#This Row],[M7+]]-('statistics-M7'!$J29/365)))</f>
        <v/>
      </c>
      <c r="Y25" t="e">
        <f>IF(ISBLANK(NFFT_All[[#This Row],[M8+]]),"",ABS(NFFT_All[[#This Row],[M8+]]-('statistics-M8'!$J29/365)))</f>
        <v>#VALUE!</v>
      </c>
    </row>
    <row r="26" spans="1:25" x14ac:dyDescent="0.35">
      <c r="A26" t="s">
        <v>18</v>
      </c>
      <c r="B26">
        <v>2</v>
      </c>
      <c r="C26">
        <v>2.0169999999999999</v>
      </c>
      <c r="D26">
        <v>1.9510000000000001</v>
      </c>
      <c r="E26">
        <v>3.681</v>
      </c>
      <c r="G26" t="s">
        <v>57</v>
      </c>
      <c r="I26">
        <f>IF(ISBLANK(NFFT_All[[#This Row],[M4+]]),"",ABS(NFFT_All[[#This Row],[M4+]]-('statistics-M4'!I30/365)))</f>
        <v>0.52377425408144096</v>
      </c>
      <c r="J26">
        <f>IF(ISBLANK(NFFT_All[[#This Row],[M5+]]),"",ABS(NFFT_All[[#This Row],[M5+]]-('statistics-M5'!$I30/365)))</f>
        <v>0.32405254549171958</v>
      </c>
      <c r="K26">
        <f>IF(ISBLANK(NFFT_All[[#This Row],[M6+]]),"",ABS(NFFT_All[[#This Row],[M6+]]-('statistics-M6'!$I30/365)))</f>
        <v>3.8313287671232876</v>
      </c>
      <c r="L26" t="str">
        <f>IF(ISBLANK(NFFT_All[[#This Row],[M7+]]),"",ABS(NFFT_All[[#This Row],[M7+]]-('statistics-M7'!$I30/365)))</f>
        <v/>
      </c>
      <c r="M26" t="e">
        <f>IF(ISBLANK(NFFT_All[[#This Row],[M8+]]),"",ABS(NFFT_All[[#This Row],[M8+]]-('statistics-M8'!$I30/365)))</f>
        <v>#VALUE!</v>
      </c>
      <c r="O26">
        <f>IF(ISBLANK(NFFT_All[[#This Row],[M4+]]),"",ABS(NFFT_All[[#This Row],[M4+]]-('statistics-M4'!$F30/365)))</f>
        <v>1.3841232876712328</v>
      </c>
      <c r="P26">
        <f>IF(ISBLANK(NFFT_All[[#This Row],[M5+]]),"",ABS(NFFT_All[[#This Row],[M5+]]-('statistics-M5'!$F30/365)))</f>
        <v>1.318123287671233</v>
      </c>
      <c r="Q26">
        <f>IF(ISBLANK(NFFT_All[[#This Row],[M6+]]),"",ABS(NFFT_All[[#This Row],[M6+]]-('statistics-M6'!$F30/365)))</f>
        <v>2.9960684931506849</v>
      </c>
      <c r="R26" t="str">
        <f>IF(ISBLANK(NFFT_All[[#This Row],[M7+]]),"",ABS(NFFT_All[[#This Row],[M7+]]-('statistics-M7'!$F30/365)))</f>
        <v/>
      </c>
      <c r="S26" t="e">
        <f>IF(ISBLANK(NFFT_All[[#This Row],[M8+]]),"",ABS(NFFT_All[[#This Row],[M8+]]-('statistics-M8'!$F30/365)))</f>
        <v>#VALUE!</v>
      </c>
      <c r="U26">
        <f>IF(ISBLANK(NFFT_All[[#This Row],[M4+]]),"",ABS(NFFT_All[[#This Row],[M4+]]-('statistics-M4'!$J30/365)))</f>
        <v>1.1238493150684929</v>
      </c>
      <c r="V26">
        <f>IF(ISBLANK(NFFT_All[[#This Row],[M5+]]),"",ABS(NFFT_All[[#This Row],[M5+]]-('statistics-M5'!$J30/365)))</f>
        <v>0.98661643835616442</v>
      </c>
      <c r="W26">
        <f>IF(ISBLANK(NFFT_All[[#This Row],[M6+]]),"",ABS(NFFT_All[[#This Row],[M6+]]-('statistics-M6'!$J30/365)))</f>
        <v>0.78064383561643869</v>
      </c>
      <c r="X26" t="str">
        <f>IF(ISBLANK(NFFT_All[[#This Row],[M7+]]),"",ABS(NFFT_All[[#This Row],[M7+]]-('statistics-M7'!$J30/365)))</f>
        <v/>
      </c>
      <c r="Y26" t="e">
        <f>IF(ISBLANK(NFFT_All[[#This Row],[M8+]]),"",ABS(NFFT_All[[#This Row],[M8+]]-('statistics-M8'!$J30/365)))</f>
        <v>#VALUE!</v>
      </c>
    </row>
    <row r="27" spans="1:25" x14ac:dyDescent="0.35">
      <c r="A27" t="s">
        <v>18</v>
      </c>
      <c r="B27">
        <v>3</v>
      </c>
      <c r="C27">
        <v>2.024</v>
      </c>
      <c r="D27">
        <v>2.2410000000000001</v>
      </c>
      <c r="G27" t="s">
        <v>58</v>
      </c>
      <c r="I27">
        <f>IF(ISBLANK(NFFT_All[[#This Row],[M4+]]),"",ABS(NFFT_All[[#This Row],[M4+]]-('statistics-M4'!I31/365)))</f>
        <v>0.61859665144596665</v>
      </c>
      <c r="J27">
        <f>IF(ISBLANK(NFFT_All[[#This Row],[M5+]]),"",ABS(NFFT_All[[#This Row],[M5+]]-('statistics-M5'!$I31/365)))</f>
        <v>0.5821632607231082</v>
      </c>
      <c r="K27" t="str">
        <f>IF(ISBLANK(NFFT_All[[#This Row],[M6+]]),"",ABS(NFFT_All[[#This Row],[M6+]]-('statistics-M6'!$I31/365)))</f>
        <v/>
      </c>
      <c r="L27" t="str">
        <f>IF(ISBLANK(NFFT_All[[#This Row],[M7+]]),"",ABS(NFFT_All[[#This Row],[M7+]]-('statistics-M7'!$I31/365)))</f>
        <v/>
      </c>
      <c r="M27" t="e">
        <f>IF(ISBLANK(NFFT_All[[#This Row],[M8+]]),"",ABS(NFFT_All[[#This Row],[M8+]]-('statistics-M8'!$I31/365)))</f>
        <v>#VALUE!</v>
      </c>
      <c r="O27">
        <f>IF(ISBLANK(NFFT_All[[#This Row],[M4+]]),"",ABS(NFFT_All[[#This Row],[M4+]]-('statistics-M4'!$F31/365)))</f>
        <v>1.5281095890410958</v>
      </c>
      <c r="P27">
        <f>IF(ISBLANK(NFFT_All[[#This Row],[M5+]]),"",ABS(NFFT_All[[#This Row],[M5+]]-('statistics-M5'!$F31/365)))</f>
        <v>1.7451095890410959</v>
      </c>
      <c r="Q27" t="str">
        <f>IF(ISBLANK(NFFT_All[[#This Row],[M6+]]),"",ABS(NFFT_All[[#This Row],[M6+]]-('statistics-M6'!$F31/365)))</f>
        <v/>
      </c>
      <c r="R27" t="str">
        <f>IF(ISBLANK(NFFT_All[[#This Row],[M7+]]),"",ABS(NFFT_All[[#This Row],[M7+]]-('statistics-M7'!$F31/365)))</f>
        <v/>
      </c>
      <c r="S27" t="e">
        <f>IF(ISBLANK(NFFT_All[[#This Row],[M8+]]),"",ABS(NFFT_All[[#This Row],[M8+]]-('statistics-M8'!$F31/365)))</f>
        <v>#VALUE!</v>
      </c>
      <c r="U27">
        <f>IF(ISBLANK(NFFT_All[[#This Row],[M4+]]),"",ABS(NFFT_All[[#This Row],[M4+]]-('statistics-M4'!$J31/365)))</f>
        <v>1.0582465753424657</v>
      </c>
      <c r="V27">
        <f>IF(ISBLANK(NFFT_All[[#This Row],[M5+]]),"",ABS(NFFT_All[[#This Row],[M5+]]-('statistics-M5'!$J31/365)))</f>
        <v>1.1999041095890413</v>
      </c>
      <c r="W27" t="str">
        <f>IF(ISBLANK(NFFT_All[[#This Row],[M6+]]),"",ABS(NFFT_All[[#This Row],[M6+]]-('statistics-M6'!$J31/365)))</f>
        <v/>
      </c>
      <c r="X27" t="str">
        <f>IF(ISBLANK(NFFT_All[[#This Row],[M7+]]),"",ABS(NFFT_All[[#This Row],[M7+]]-('statistics-M7'!$J31/365)))</f>
        <v/>
      </c>
      <c r="Y27" t="e">
        <f>IF(ISBLANK(NFFT_All[[#This Row],[M8+]]),"",ABS(NFFT_All[[#This Row],[M8+]]-('statistics-M8'!$J31/365)))</f>
        <v>#VALUE!</v>
      </c>
    </row>
    <row r="28" spans="1:25" x14ac:dyDescent="0.35">
      <c r="A28" t="s">
        <v>19</v>
      </c>
      <c r="B28">
        <v>1</v>
      </c>
      <c r="C28">
        <v>2.661</v>
      </c>
      <c r="D28">
        <v>2.661</v>
      </c>
      <c r="E28">
        <v>4.6059999999999999</v>
      </c>
      <c r="G28" t="s">
        <v>57</v>
      </c>
      <c r="I28">
        <f>IF(ISBLANK(NFFT_All[[#This Row],[M4+]]),"",ABS(NFFT_All[[#This Row],[M4+]]-('statistics-M4'!I32/365)))</f>
        <v>1.4728540621185406</v>
      </c>
      <c r="J28">
        <f>IF(ISBLANK(NFFT_All[[#This Row],[M5+]]),"",ABS(NFFT_All[[#This Row],[M5+]]-('statistics-M5'!$I32/365)))</f>
        <v>1.4728540621185406</v>
      </c>
      <c r="K28">
        <f>IF(ISBLANK(NFFT_All[[#This Row],[M6+]]),"",ABS(NFFT_All[[#This Row],[M6+]]-('statistics-M6'!$I32/365)))</f>
        <v>1.9314259939859673</v>
      </c>
      <c r="L28" t="str">
        <f>IF(ISBLANK(NFFT_All[[#This Row],[M7+]]),"",ABS(NFFT_All[[#This Row],[M7+]]-('statistics-M7'!$I32/365)))</f>
        <v/>
      </c>
      <c r="M28" t="e">
        <f>IF(ISBLANK(NFFT_All[[#This Row],[M8+]]),"",ABS(NFFT_All[[#This Row],[M8+]]-('statistics-M8'!$I32/365)))</f>
        <v>#VALUE!</v>
      </c>
      <c r="O28">
        <f>IF(ISBLANK(NFFT_All[[#This Row],[M4+]]),"",ABS(NFFT_All[[#This Row],[M4+]]-('statistics-M4'!$F32/365)))</f>
        <v>2.1294931506849313</v>
      </c>
      <c r="P28">
        <f>IF(ISBLANK(NFFT_All[[#This Row],[M5+]]),"",ABS(NFFT_All[[#This Row],[M5+]]-('statistics-M5'!$F32/365)))</f>
        <v>2.1294931506849313</v>
      </c>
      <c r="Q28">
        <f>IF(ISBLANK(NFFT_All[[#This Row],[M6+]]),"",ABS(NFFT_All[[#This Row],[M6+]]-('statistics-M6'!$F32/365)))</f>
        <v>4.0744931506849316</v>
      </c>
      <c r="R28" t="str">
        <f>IF(ISBLANK(NFFT_All[[#This Row],[M7+]]),"",ABS(NFFT_All[[#This Row],[M7+]]-('statistics-M7'!$F32/365)))</f>
        <v/>
      </c>
      <c r="S28" t="e">
        <f>IF(ISBLANK(NFFT_All[[#This Row],[M8+]]),"",ABS(NFFT_All[[#This Row],[M8+]]-('statistics-M8'!$F32/365)))</f>
        <v>#VALUE!</v>
      </c>
      <c r="U28">
        <f>IF(ISBLANK(NFFT_All[[#This Row],[M4+]]),"",ABS(NFFT_All[[#This Row],[M4+]]-('statistics-M4'!$J32/365)))</f>
        <v>1.7651095890410959</v>
      </c>
      <c r="V28">
        <f>IF(ISBLANK(NFFT_All[[#This Row],[M5+]]),"",ABS(NFFT_All[[#This Row],[M5+]]-('statistics-M5'!$J32/365)))</f>
        <v>1.7651095890410959</v>
      </c>
      <c r="W28">
        <f>IF(ISBLANK(NFFT_All[[#This Row],[M6+]]),"",ABS(NFFT_All[[#This Row],[M6+]]-('statistics-M6'!$J32/365)))</f>
        <v>2.7731232876712326</v>
      </c>
      <c r="X28" t="str">
        <f>IF(ISBLANK(NFFT_All[[#This Row],[M7+]]),"",ABS(NFFT_All[[#This Row],[M7+]]-('statistics-M7'!$J32/365)))</f>
        <v/>
      </c>
      <c r="Y28" t="e">
        <f>IF(ISBLANK(NFFT_All[[#This Row],[M8+]]),"",ABS(NFFT_All[[#This Row],[M8+]]-('statistics-M8'!$J32/365)))</f>
        <v>#VALUE!</v>
      </c>
    </row>
    <row r="29" spans="1:25" x14ac:dyDescent="0.35">
      <c r="A29" t="s">
        <v>19</v>
      </c>
      <c r="B29">
        <v>2</v>
      </c>
      <c r="C29">
        <v>2.1179999999999999</v>
      </c>
      <c r="D29">
        <v>2.17</v>
      </c>
      <c r="E29">
        <v>4.5890000000000004</v>
      </c>
      <c r="G29" t="s">
        <v>57</v>
      </c>
      <c r="I29">
        <f>IF(ISBLANK(NFFT_All[[#This Row],[M4+]]),"",ABS(NFFT_All[[#This Row],[M4+]]-('statistics-M4'!I33/365)))</f>
        <v>0.97629093281148061</v>
      </c>
      <c r="J29">
        <f>IF(ISBLANK(NFFT_All[[#This Row],[M5+]]),"",ABS(NFFT_All[[#This Row],[M5+]]-('statistics-M5'!$I33/365)))</f>
        <v>1.0021514907332796</v>
      </c>
      <c r="K29">
        <f>IF(ISBLANK(NFFT_All[[#This Row],[M6+]]),"",ABS(NFFT_All[[#This Row],[M6+]]-('statistics-M6'!$I33/365)))</f>
        <v>1.003469178082192</v>
      </c>
      <c r="L29" t="str">
        <f>IF(ISBLANK(NFFT_All[[#This Row],[M7+]]),"",ABS(NFFT_All[[#This Row],[M7+]]-('statistics-M7'!$I33/365)))</f>
        <v/>
      </c>
      <c r="M29" t="e">
        <f>IF(ISBLANK(NFFT_All[[#This Row],[M8+]]),"",ABS(NFFT_All[[#This Row],[M8+]]-('statistics-M8'!$I33/365)))</f>
        <v>#VALUE!</v>
      </c>
      <c r="O29">
        <f>IF(ISBLANK(NFFT_All[[#This Row],[M4+]]),"",ABS(NFFT_All[[#This Row],[M4+]]-('statistics-M4'!$F33/365)))</f>
        <v>1.6001917808219177</v>
      </c>
      <c r="P29">
        <f>IF(ISBLANK(NFFT_All[[#This Row],[M5+]]),"",ABS(NFFT_All[[#This Row],[M5+]]-('statistics-M5'!$F33/365)))</f>
        <v>1.6521917808219178</v>
      </c>
      <c r="Q29">
        <f>IF(ISBLANK(NFFT_All[[#This Row],[M6+]]),"",ABS(NFFT_All[[#This Row],[M6+]]-('statistics-M6'!$F33/365)))</f>
        <v>4.04927397260274</v>
      </c>
      <c r="R29" t="str">
        <f>IF(ISBLANK(NFFT_All[[#This Row],[M7+]]),"",ABS(NFFT_All[[#This Row],[M7+]]-('statistics-M7'!$F33/365)))</f>
        <v/>
      </c>
      <c r="S29" t="e">
        <f>IF(ISBLANK(NFFT_All[[#This Row],[M8+]]),"",ABS(NFFT_All[[#This Row],[M8+]]-('statistics-M8'!$F33/365)))</f>
        <v>#VALUE!</v>
      </c>
      <c r="U29">
        <f>IF(ISBLANK(NFFT_All[[#This Row],[M4+]]),"",ABS(NFFT_All[[#This Row],[M4+]]-('statistics-M4'!$J33/365)))</f>
        <v>1.265945205479452</v>
      </c>
      <c r="V29">
        <f>IF(ISBLANK(NFFT_All[[#This Row],[M5+]]),"",ABS(NFFT_All[[#This Row],[M5+]]-('statistics-M5'!$J33/365)))</f>
        <v>1.2973972602739725</v>
      </c>
      <c r="W29">
        <f>IF(ISBLANK(NFFT_All[[#This Row],[M6+]]),"",ABS(NFFT_All[[#This Row],[M6+]]-('statistics-M6'!$J33/365)))</f>
        <v>2.1259863013698634</v>
      </c>
      <c r="X29" t="str">
        <f>IF(ISBLANK(NFFT_All[[#This Row],[M7+]]),"",ABS(NFFT_All[[#This Row],[M7+]]-('statistics-M7'!$J33/365)))</f>
        <v/>
      </c>
      <c r="Y29" t="e">
        <f>IF(ISBLANK(NFFT_All[[#This Row],[M8+]]),"",ABS(NFFT_All[[#This Row],[M8+]]-('statistics-M8'!$J33/365)))</f>
        <v>#VALUE!</v>
      </c>
    </row>
    <row r="30" spans="1:25" x14ac:dyDescent="0.35">
      <c r="A30" t="s">
        <v>19</v>
      </c>
      <c r="B30">
        <v>3</v>
      </c>
      <c r="C30">
        <v>2.8290000000000002</v>
      </c>
      <c r="D30">
        <v>2.4889999999999999</v>
      </c>
      <c r="G30" t="s">
        <v>58</v>
      </c>
      <c r="I30">
        <f>IF(ISBLANK(NFFT_All[[#This Row],[M4+]]),"",ABS(NFFT_All[[#This Row],[M4+]]-('statistics-M4'!I34/365)))</f>
        <v>1.3681318699455358</v>
      </c>
      <c r="J30">
        <f>IF(ISBLANK(NFFT_All[[#This Row],[M5+]]),"",ABS(NFFT_All[[#This Row],[M5+]]-('statistics-M5'!$I34/365)))</f>
        <v>0.91429798968155129</v>
      </c>
      <c r="K30" t="str">
        <f>IF(ISBLANK(NFFT_All[[#This Row],[M6+]]),"",ABS(NFFT_All[[#This Row],[M6+]]-('statistics-M6'!$I34/365)))</f>
        <v/>
      </c>
      <c r="L30" t="str">
        <f>IF(ISBLANK(NFFT_All[[#This Row],[M7+]]),"",ABS(NFFT_All[[#This Row],[M7+]]-('statistics-M7'!$I34/365)))</f>
        <v/>
      </c>
      <c r="M30" t="e">
        <f>IF(ISBLANK(NFFT_All[[#This Row],[M8+]]),"",ABS(NFFT_All[[#This Row],[M8+]]-('statistics-M8'!$I34/365)))</f>
        <v>#VALUE!</v>
      </c>
      <c r="O30">
        <f>IF(ISBLANK(NFFT_All[[#This Row],[M4+]]),"",ABS(NFFT_All[[#This Row],[M4+]]-('statistics-M4'!$F34/365)))</f>
        <v>2.2673561643835618</v>
      </c>
      <c r="P30">
        <f>IF(ISBLANK(NFFT_All[[#This Row],[M5+]]),"",ABS(NFFT_All[[#This Row],[M5+]]-('statistics-M5'!$F34/365)))</f>
        <v>1.9273561643835615</v>
      </c>
      <c r="Q30" t="str">
        <f>IF(ISBLANK(NFFT_All[[#This Row],[M6+]]),"",ABS(NFFT_All[[#This Row],[M6+]]-('statistics-M6'!$F34/365)))</f>
        <v/>
      </c>
      <c r="R30" t="str">
        <f>IF(ISBLANK(NFFT_All[[#This Row],[M7+]]),"",ABS(NFFT_All[[#This Row],[M7+]]-('statistics-M7'!$F34/365)))</f>
        <v/>
      </c>
      <c r="S30" t="e">
        <f>IF(ISBLANK(NFFT_All[[#This Row],[M8+]]),"",ABS(NFFT_All[[#This Row],[M8+]]-('statistics-M8'!$F34/365)))</f>
        <v>#VALUE!</v>
      </c>
      <c r="U30">
        <f>IF(ISBLANK(NFFT_All[[#This Row],[M4+]]),"",ABS(NFFT_All[[#This Row],[M4+]]-('statistics-M4'!$J34/365)))</f>
        <v>1.9495479452054796</v>
      </c>
      <c r="V30">
        <f>IF(ISBLANK(NFFT_All[[#This Row],[M5+]]),"",ABS(NFFT_All[[#This Row],[M5+]]-('statistics-M5'!$J34/365)))</f>
        <v>1.5465342465753422</v>
      </c>
      <c r="W30" t="str">
        <f>IF(ISBLANK(NFFT_All[[#This Row],[M6+]]),"",ABS(NFFT_All[[#This Row],[M6+]]-('statistics-M6'!$J34/365)))</f>
        <v/>
      </c>
      <c r="X30" t="str">
        <f>IF(ISBLANK(NFFT_All[[#This Row],[M7+]]),"",ABS(NFFT_All[[#This Row],[M7+]]-('statistics-M7'!$J34/365)))</f>
        <v/>
      </c>
      <c r="Y30" t="e">
        <f>IF(ISBLANK(NFFT_All[[#This Row],[M8+]]),"",ABS(NFFT_All[[#This Row],[M8+]]-('statistics-M8'!$J34/365)))</f>
        <v>#VALUE!</v>
      </c>
    </row>
    <row r="31" spans="1:25" x14ac:dyDescent="0.35">
      <c r="A31" t="s">
        <v>20</v>
      </c>
      <c r="B31">
        <v>1</v>
      </c>
      <c r="C31">
        <v>2.157</v>
      </c>
      <c r="D31">
        <v>2.157</v>
      </c>
      <c r="E31">
        <v>4.4669999999999996</v>
      </c>
      <c r="G31" t="s">
        <v>57</v>
      </c>
      <c r="I31">
        <f>IF(ISBLANK(NFFT_All[[#This Row],[M4+]]),"",ABS(NFFT_All[[#This Row],[M4+]]-('statistics-M4'!I35/365)))</f>
        <v>1.0945390531122328</v>
      </c>
      <c r="J31">
        <f>IF(ISBLANK(NFFT_All[[#This Row],[M5+]]),"",ABS(NFFT_All[[#This Row],[M5+]]-('statistics-M5'!$I35/365)))</f>
        <v>1.0945390531122328</v>
      </c>
      <c r="K31">
        <f>IF(ISBLANK(NFFT_All[[#This Row],[M6+]]),"",ABS(NFFT_All[[#This Row],[M6+]]-('statistics-M6'!$I35/365)))</f>
        <v>1.3734888248017301</v>
      </c>
      <c r="L31" t="str">
        <f>IF(ISBLANK(NFFT_All[[#This Row],[M7+]]),"",ABS(NFFT_All[[#This Row],[M7+]]-('statistics-M7'!$I35/365)))</f>
        <v/>
      </c>
      <c r="M31" t="e">
        <f>IF(ISBLANK(NFFT_All[[#This Row],[M8+]]),"",ABS(NFFT_All[[#This Row],[M8+]]-('statistics-M8'!$I35/365)))</f>
        <v>#VALUE!</v>
      </c>
      <c r="O31">
        <f>IF(ISBLANK(NFFT_All[[#This Row],[M4+]]),"",ABS(NFFT_All[[#This Row],[M4+]]-('statistics-M4'!$F35/365)))</f>
        <v>1.4830273972602739</v>
      </c>
      <c r="P31">
        <f>IF(ISBLANK(NFFT_All[[#This Row],[M5+]]),"",ABS(NFFT_All[[#This Row],[M5+]]-('statistics-M5'!$F35/365)))</f>
        <v>1.4830273972602739</v>
      </c>
      <c r="Q31">
        <f>IF(ISBLANK(NFFT_All[[#This Row],[M6+]]),"",ABS(NFFT_All[[#This Row],[M6+]]-('statistics-M6'!$F35/365)))</f>
        <v>3.7930273972602735</v>
      </c>
      <c r="R31" t="str">
        <f>IF(ISBLANK(NFFT_All[[#This Row],[M7+]]),"",ABS(NFFT_All[[#This Row],[M7+]]-('statistics-M7'!$F35/365)))</f>
        <v/>
      </c>
      <c r="S31" t="e">
        <f>IF(ISBLANK(NFFT_All[[#This Row],[M8+]]),"",ABS(NFFT_All[[#This Row],[M8+]]-('statistics-M8'!$F35/365)))</f>
        <v>#VALUE!</v>
      </c>
      <c r="U31">
        <f>IF(ISBLANK(NFFT_All[[#This Row],[M4+]]),"",ABS(NFFT_All[[#This Row],[M4+]]-('statistics-M4'!$J35/365)))</f>
        <v>1.3268630136986301</v>
      </c>
      <c r="V31">
        <f>IF(ISBLANK(NFFT_All[[#This Row],[M5+]]),"",ABS(NFFT_All[[#This Row],[M5+]]-('statistics-M5'!$J35/365)))</f>
        <v>1.3268630136986301</v>
      </c>
      <c r="W31">
        <f>IF(ISBLANK(NFFT_All[[#This Row],[M6+]]),"",ABS(NFFT_All[[#This Row],[M6+]]-('statistics-M6'!$J35/365)))</f>
        <v>2.1231643835616434</v>
      </c>
      <c r="X31" t="str">
        <f>IF(ISBLANK(NFFT_All[[#This Row],[M7+]]),"",ABS(NFFT_All[[#This Row],[M7+]]-('statistics-M7'!$J35/365)))</f>
        <v/>
      </c>
      <c r="Y31" t="e">
        <f>IF(ISBLANK(NFFT_All[[#This Row],[M8+]]),"",ABS(NFFT_All[[#This Row],[M8+]]-('statistics-M8'!$J35/365)))</f>
        <v>#VALUE!</v>
      </c>
    </row>
    <row r="32" spans="1:25" x14ac:dyDescent="0.35">
      <c r="A32" t="s">
        <v>20</v>
      </c>
      <c r="B32">
        <v>2</v>
      </c>
      <c r="C32">
        <v>2.2360000000000002</v>
      </c>
      <c r="D32">
        <v>2.0379999999999998</v>
      </c>
      <c r="G32" t="s">
        <v>57</v>
      </c>
      <c r="I32">
        <f>IF(ISBLANK(NFFT_All[[#This Row],[M4+]]),"",ABS(NFFT_All[[#This Row],[M4+]]-('statistics-M4'!I36/365)))</f>
        <v>0.82871908425595819</v>
      </c>
      <c r="J32">
        <f>IF(ISBLANK(NFFT_All[[#This Row],[M5+]]),"",ABS(NFFT_All[[#This Row],[M5+]]-('statistics-M5'!$I36/365)))</f>
        <v>0.18514819427148188</v>
      </c>
      <c r="K32" t="str">
        <f>IF(ISBLANK(NFFT_All[[#This Row],[M6+]]),"",ABS(NFFT_All[[#This Row],[M6+]]-('statistics-M6'!$I36/365)))</f>
        <v/>
      </c>
      <c r="L32" t="str">
        <f>IF(ISBLANK(NFFT_All[[#This Row],[M7+]]),"",ABS(NFFT_All[[#This Row],[M7+]]-('statistics-M7'!$I36/365)))</f>
        <v/>
      </c>
      <c r="M32" t="e">
        <f>IF(ISBLANK(NFFT_All[[#This Row],[M8+]]),"",ABS(NFFT_All[[#This Row],[M8+]]-('statistics-M8'!$I36/365)))</f>
        <v>#VALUE!</v>
      </c>
      <c r="O32">
        <f>IF(ISBLANK(NFFT_All[[#This Row],[M4+]]),"",ABS(NFFT_All[[#This Row],[M4+]]-('statistics-M4'!$F36/365)))</f>
        <v>1.6140821917808221</v>
      </c>
      <c r="P32">
        <f>IF(ISBLANK(NFFT_All[[#This Row],[M5+]]),"",ABS(NFFT_All[[#This Row],[M5+]]-('statistics-M5'!$F36/365)))</f>
        <v>0.98320547945205461</v>
      </c>
      <c r="Q32" t="str">
        <f>IF(ISBLANK(NFFT_All[[#This Row],[M6+]]),"",ABS(NFFT_All[[#This Row],[M6+]]-('statistics-M6'!$F36/365)))</f>
        <v/>
      </c>
      <c r="R32" t="str">
        <f>IF(ISBLANK(NFFT_All[[#This Row],[M7+]]),"",ABS(NFFT_All[[#This Row],[M7+]]-('statistics-M7'!$F36/365)))</f>
        <v/>
      </c>
      <c r="S32" t="e">
        <f>IF(ISBLANK(NFFT_All[[#This Row],[M8+]]),"",ABS(NFFT_All[[#This Row],[M8+]]-('statistics-M8'!$F36/365)))</f>
        <v>#VALUE!</v>
      </c>
      <c r="U32">
        <f>IF(ISBLANK(NFFT_All[[#This Row],[M4+]]),"",ABS(NFFT_All[[#This Row],[M4+]]-('statistics-M4'!$J36/365)))</f>
        <v>1.3236712328767126</v>
      </c>
      <c r="V32">
        <f>IF(ISBLANK(NFFT_All[[#This Row],[M5+]]),"",ABS(NFFT_All[[#This Row],[M5+]]-('statistics-M5'!$J36/365)))</f>
        <v>0.82704109589041086</v>
      </c>
      <c r="W32" t="str">
        <f>IF(ISBLANK(NFFT_All[[#This Row],[M6+]]),"",ABS(NFFT_All[[#This Row],[M6+]]-('statistics-M6'!$J36/365)))</f>
        <v/>
      </c>
      <c r="X32" t="str">
        <f>IF(ISBLANK(NFFT_All[[#This Row],[M7+]]),"",ABS(NFFT_All[[#This Row],[M7+]]-('statistics-M7'!$J36/365)))</f>
        <v/>
      </c>
      <c r="Y32" t="e">
        <f>IF(ISBLANK(NFFT_All[[#This Row],[M8+]]),"",ABS(NFFT_All[[#This Row],[M8+]]-('statistics-M8'!$J36/365)))</f>
        <v>#VALUE!</v>
      </c>
    </row>
    <row r="33" spans="1:25" x14ac:dyDescent="0.35">
      <c r="A33" t="s">
        <v>20</v>
      </c>
      <c r="B33">
        <v>3</v>
      </c>
      <c r="C33">
        <v>2.222</v>
      </c>
      <c r="D33">
        <v>7.601</v>
      </c>
      <c r="G33" t="s">
        <v>57</v>
      </c>
      <c r="I33">
        <f>IF(ISBLANK(NFFT_All[[#This Row],[M4+]]),"",ABS(NFFT_All[[#This Row],[M4+]]-('statistics-M4'!I37/365)))</f>
        <v>0.34182932854255554</v>
      </c>
      <c r="J33">
        <f>IF(ISBLANK(NFFT_All[[#This Row],[M5+]]),"",ABS(NFFT_All[[#This Row],[M5+]]-('statistics-M5'!$I37/365)))</f>
        <v>4.7507260273972607</v>
      </c>
      <c r="K33" t="str">
        <f>IF(ISBLANK(NFFT_All[[#This Row],[M6+]]),"",ABS(NFFT_All[[#This Row],[M6+]]-('statistics-M6'!$I37/365)))</f>
        <v/>
      </c>
      <c r="L33" t="str">
        <f>IF(ISBLANK(NFFT_All[[#This Row],[M7+]]),"",ABS(NFFT_All[[#This Row],[M7+]]-('statistics-M7'!$I37/365)))</f>
        <v/>
      </c>
      <c r="M33" t="e">
        <f>IF(ISBLANK(NFFT_All[[#This Row],[M8+]]),"",ABS(NFFT_All[[#This Row],[M8+]]-('statistics-M8'!$I37/365)))</f>
        <v>#VALUE!</v>
      </c>
      <c r="O33">
        <f>IF(ISBLANK(NFFT_All[[#This Row],[M4+]]),"",ABS(NFFT_All[[#This Row],[M4+]]-('statistics-M4'!$F37/365)))</f>
        <v>1.7014520547945207</v>
      </c>
      <c r="P33">
        <f>IF(ISBLANK(NFFT_All[[#This Row],[M5+]]),"",ABS(NFFT_All[[#This Row],[M5+]]-('statistics-M5'!$F37/365)))</f>
        <v>6.5078493150684933</v>
      </c>
      <c r="Q33" t="str">
        <f>IF(ISBLANK(NFFT_All[[#This Row],[M6+]]),"",ABS(NFFT_All[[#This Row],[M6+]]-('statistics-M6'!$F37/365)))</f>
        <v/>
      </c>
      <c r="R33" t="str">
        <f>IF(ISBLANK(NFFT_All[[#This Row],[M7+]]),"",ABS(NFFT_All[[#This Row],[M7+]]-('statistics-M7'!$F37/365)))</f>
        <v/>
      </c>
      <c r="S33" t="e">
        <f>IF(ISBLANK(NFFT_All[[#This Row],[M8+]]),"",ABS(NFFT_All[[#This Row],[M8+]]-('statistics-M8'!$F37/365)))</f>
        <v>#VALUE!</v>
      </c>
      <c r="U33">
        <f>IF(ISBLANK(NFFT_All[[#This Row],[M4+]]),"",ABS(NFFT_All[[#This Row],[M4+]]-('statistics-M4'!$J37/365)))</f>
        <v>1.2767945205479452</v>
      </c>
      <c r="V33">
        <f>IF(ISBLANK(NFFT_All[[#This Row],[M5+]]),"",ABS(NFFT_All[[#This Row],[M5+]]-('statistics-M5'!$J37/365)))</f>
        <v>5.9078493150684928</v>
      </c>
      <c r="W33" t="str">
        <f>IF(ISBLANK(NFFT_All[[#This Row],[M6+]]),"",ABS(NFFT_All[[#This Row],[M6+]]-('statistics-M6'!$J37/365)))</f>
        <v/>
      </c>
      <c r="X33" t="str">
        <f>IF(ISBLANK(NFFT_All[[#This Row],[M7+]]),"",ABS(NFFT_All[[#This Row],[M7+]]-('statistics-M7'!$J37/365)))</f>
        <v/>
      </c>
      <c r="Y33" t="e">
        <f>IF(ISBLANK(NFFT_All[[#This Row],[M8+]]),"",ABS(NFFT_All[[#This Row],[M8+]]-('statistics-M8'!$J37/365)))</f>
        <v>#VALUE!</v>
      </c>
    </row>
    <row r="34" spans="1:25" x14ac:dyDescent="0.35">
      <c r="A34" t="s">
        <v>21</v>
      </c>
      <c r="B34">
        <v>1</v>
      </c>
      <c r="C34">
        <v>2.2690000000000001</v>
      </c>
      <c r="D34">
        <v>2.762</v>
      </c>
      <c r="E34">
        <v>2.0910000000000002</v>
      </c>
      <c r="G34" t="s">
        <v>57</v>
      </c>
      <c r="I34">
        <f>IF(ISBLANK(NFFT_All[[#This Row],[M4+]]),"",ABS(NFFT_All[[#This Row],[M4+]]-('statistics-M4'!I38/365)))</f>
        <v>1.0479417136717701</v>
      </c>
      <c r="J34">
        <f>IF(ISBLANK(NFFT_All[[#This Row],[M5+]]),"",ABS(NFFT_All[[#This Row],[M5+]]-('statistics-M5'!$I38/365)))</f>
        <v>1.5288520276685202</v>
      </c>
      <c r="K34">
        <f>IF(ISBLANK(NFFT_All[[#This Row],[M6+]]),"",ABS(NFFT_All[[#This Row],[M6+]]-('statistics-M6'!$I38/365)))</f>
        <v>0.22854689146469953</v>
      </c>
      <c r="L34" t="str">
        <f>IF(ISBLANK(NFFT_All[[#This Row],[M7+]]),"",ABS(NFFT_All[[#This Row],[M7+]]-('statistics-M7'!$I38/365)))</f>
        <v/>
      </c>
      <c r="M34" t="e">
        <f>IF(ISBLANK(NFFT_All[[#This Row],[M8+]]),"",ABS(NFFT_All[[#This Row],[M8+]]-('statistics-M8'!$I38/365)))</f>
        <v>#VALUE!</v>
      </c>
      <c r="O34">
        <f>IF(ISBLANK(NFFT_All[[#This Row],[M4+]]),"",ABS(NFFT_All[[#This Row],[M4+]]-('statistics-M4'!$F38/365)))</f>
        <v>1.7100958904109591</v>
      </c>
      <c r="P34">
        <f>IF(ISBLANK(NFFT_All[[#This Row],[M5+]]),"",ABS(NFFT_All[[#This Row],[M5+]]-('statistics-M5'!$F38/365)))</f>
        <v>2.1839178082191779</v>
      </c>
      <c r="Q34">
        <f>IF(ISBLANK(NFFT_All[[#This Row],[M6+]]),"",ABS(NFFT_All[[#This Row],[M6+]]-('statistics-M6'!$F38/365)))</f>
        <v>1.3704520547945207</v>
      </c>
      <c r="R34" t="str">
        <f>IF(ISBLANK(NFFT_All[[#This Row],[M7+]]),"",ABS(NFFT_All[[#This Row],[M7+]]-('statistics-M7'!$F38/365)))</f>
        <v/>
      </c>
      <c r="S34" t="e">
        <f>IF(ISBLANK(NFFT_All[[#This Row],[M8+]]),"",ABS(NFFT_All[[#This Row],[M8+]]-('statistics-M8'!$F38/365)))</f>
        <v>#VALUE!</v>
      </c>
      <c r="U34">
        <f>IF(ISBLANK(NFFT_All[[#This Row],[M4+]]),"",ABS(NFFT_All[[#This Row],[M4+]]-('statistics-M4'!$J38/365)))</f>
        <v>1.3703698630136989</v>
      </c>
      <c r="V34">
        <f>IF(ISBLANK(NFFT_All[[#This Row],[M5+]]),"",ABS(NFFT_All[[#This Row],[M5+]]-('statistics-M5'!$J38/365)))</f>
        <v>1.8551506849315067</v>
      </c>
      <c r="W34">
        <f>IF(ISBLANK(NFFT_All[[#This Row],[M6+]]),"",ABS(NFFT_All[[#This Row],[M6+]]-('statistics-M6'!$J38/365)))</f>
        <v>0.49921917808219196</v>
      </c>
      <c r="X34" t="str">
        <f>IF(ISBLANK(NFFT_All[[#This Row],[M7+]]),"",ABS(NFFT_All[[#This Row],[M7+]]-('statistics-M7'!$J38/365)))</f>
        <v/>
      </c>
      <c r="Y34" t="e">
        <f>IF(ISBLANK(NFFT_All[[#This Row],[M8+]]),"",ABS(NFFT_All[[#This Row],[M8+]]-('statistics-M8'!$J38/365)))</f>
        <v>#VALUE!</v>
      </c>
    </row>
    <row r="35" spans="1:25" x14ac:dyDescent="0.35">
      <c r="A35" t="s">
        <v>22</v>
      </c>
      <c r="B35">
        <v>1</v>
      </c>
      <c r="C35">
        <v>2.6869999999999998</v>
      </c>
      <c r="D35">
        <v>3.1349999999999998</v>
      </c>
      <c r="E35">
        <v>5.3070000000000004</v>
      </c>
      <c r="G35" t="s">
        <v>57</v>
      </c>
      <c r="I35">
        <f>IF(ISBLANK(NFFT_All[[#This Row],[M4+]]),"",ABS(NFFT_All[[#This Row],[M4+]]-('statistics-M4'!I41/365)))</f>
        <v>1.2936666666666665</v>
      </c>
      <c r="J35">
        <f>IF(ISBLANK(NFFT_All[[#This Row],[M5+]]),"",ABS(NFFT_All[[#This Row],[M5+]]-('statistics-M5'!$I41/365)))</f>
        <v>1.7260112359550559</v>
      </c>
      <c r="K35">
        <f>IF(ISBLANK(NFFT_All[[#This Row],[M6+]]),"",ABS(NFFT_All[[#This Row],[M6+]]-('statistics-M6'!$I41/365)))</f>
        <v>1.6343166800966968</v>
      </c>
      <c r="L35" t="str">
        <f>IF(ISBLANK(NFFT_All[[#This Row],[M7+]]),"",ABS(NFFT_All[[#This Row],[M7+]]-('statistics-M7'!$I41/365)))</f>
        <v/>
      </c>
      <c r="M35" t="e">
        <f>IF(ISBLANK(NFFT_All[[#This Row],[M8+]]),"",ABS(NFFT_All[[#This Row],[M8+]]-('statistics-M8'!$I41/365)))</f>
        <v>#VALUE!</v>
      </c>
      <c r="O35">
        <f>IF(ISBLANK(NFFT_All[[#This Row],[M4+]]),"",ABS(NFFT_All[[#This Row],[M4+]]-('statistics-M4'!$F41/365)))</f>
        <v>2.1308356164383557</v>
      </c>
      <c r="P35">
        <f>IF(ISBLANK(NFFT_All[[#This Row],[M5+]]),"",ABS(NFFT_All[[#This Row],[M5+]]-('statistics-M5'!$F41/365)))</f>
        <v>2.5788356164383561</v>
      </c>
      <c r="Q35">
        <f>IF(ISBLANK(NFFT_All[[#This Row],[M6+]]),"",ABS(NFFT_All[[#This Row],[M6+]]-('statistics-M6'!$F41/365)))</f>
        <v>4.7206986301369867</v>
      </c>
      <c r="R35" t="str">
        <f>IF(ISBLANK(NFFT_All[[#This Row],[M7+]]),"",ABS(NFFT_All[[#This Row],[M7+]]-('statistics-M7'!$F41/365)))</f>
        <v/>
      </c>
      <c r="S35" t="e">
        <f>IF(ISBLANK(NFFT_All[[#This Row],[M8+]]),"",ABS(NFFT_All[[#This Row],[M8+]]-('statistics-M8'!$F41/365)))</f>
        <v>#VALUE!</v>
      </c>
      <c r="U35">
        <f>IF(ISBLANK(NFFT_All[[#This Row],[M4+]]),"",ABS(NFFT_All[[#This Row],[M4+]]-('statistics-M4'!$J41/365)))</f>
        <v>1.7911095890410957</v>
      </c>
      <c r="V35">
        <f>IF(ISBLANK(NFFT_All[[#This Row],[M5+]]),"",ABS(NFFT_All[[#This Row],[M5+]]-('statistics-M5'!$J41/365)))</f>
        <v>2.2117123287671232</v>
      </c>
      <c r="W35">
        <f>IF(ISBLANK(NFFT_All[[#This Row],[M6+]]),"",ABS(NFFT_All[[#This Row],[M6+]]-('statistics-M6'!$J41/365)))</f>
        <v>2.2056301369863016</v>
      </c>
      <c r="X35" t="str">
        <f>IF(ISBLANK(NFFT_All[[#This Row],[M7+]]),"",ABS(NFFT_All[[#This Row],[M7+]]-('statistics-M7'!$J41/365)))</f>
        <v/>
      </c>
      <c r="Y35" t="e">
        <f>IF(ISBLANK(NFFT_All[[#This Row],[M8+]]),"",ABS(NFFT_All[[#This Row],[M8+]]-('statistics-M8'!$J41/365)))</f>
        <v>#VALUE!</v>
      </c>
    </row>
    <row r="36" spans="1:25" x14ac:dyDescent="0.35">
      <c r="A36" t="s">
        <v>23</v>
      </c>
      <c r="B36">
        <v>1</v>
      </c>
      <c r="C36">
        <v>2.6720000000000002</v>
      </c>
      <c r="D36">
        <v>2.6720000000000002</v>
      </c>
      <c r="E36">
        <v>4.5609999999999999</v>
      </c>
      <c r="G36" t="s">
        <v>57</v>
      </c>
      <c r="I36">
        <f>IF(ISBLANK(NFFT_All[[#This Row],[M4+]]),"",ABS(NFFT_All[[#This Row],[M4+]]-('statistics-M4'!I42/365)))</f>
        <v>1.3789905380595964</v>
      </c>
      <c r="J36">
        <f>IF(ISBLANK(NFFT_All[[#This Row],[M5+]]),"",ABS(NFFT_All[[#This Row],[M5+]]-('statistics-M5'!$I42/365)))</f>
        <v>1.3789905380595964</v>
      </c>
      <c r="K36">
        <f>IF(ISBLANK(NFFT_All[[#This Row],[M6+]]),"",ABS(NFFT_All[[#This Row],[M6+]]-('statistics-M6'!$I42/365)))</f>
        <v>1.7338518057285177</v>
      </c>
      <c r="L36" t="str">
        <f>IF(ISBLANK(NFFT_All[[#This Row],[M7+]]),"",ABS(NFFT_All[[#This Row],[M7+]]-('statistics-M7'!$I42/365)))</f>
        <v/>
      </c>
      <c r="M36" t="e">
        <f>IF(ISBLANK(NFFT_All[[#This Row],[M8+]]),"",ABS(NFFT_All[[#This Row],[M8+]]-('statistics-M8'!$I42/365)))</f>
        <v>#VALUE!</v>
      </c>
      <c r="O36">
        <f>IF(ISBLANK(NFFT_All[[#This Row],[M4+]]),"",ABS(NFFT_All[[#This Row],[M4+]]-('statistics-M4'!$F42/365)))</f>
        <v>2.1706301369863015</v>
      </c>
      <c r="P36">
        <f>IF(ISBLANK(NFFT_All[[#This Row],[M5+]]),"",ABS(NFFT_All[[#This Row],[M5+]]-('statistics-M5'!$F42/365)))</f>
        <v>2.1706301369863015</v>
      </c>
      <c r="Q36">
        <f>IF(ISBLANK(NFFT_All[[#This Row],[M6+]]),"",ABS(NFFT_All[[#This Row],[M6+]]-('statistics-M6'!$F42/365)))</f>
        <v>3.6842876712328767</v>
      </c>
      <c r="R36" t="str">
        <f>IF(ISBLANK(NFFT_All[[#This Row],[M7+]]),"",ABS(NFFT_All[[#This Row],[M7+]]-('statistics-M7'!$F42/365)))</f>
        <v/>
      </c>
      <c r="S36" t="e">
        <f>IF(ISBLANK(NFFT_All[[#This Row],[M8+]]),"",ABS(NFFT_All[[#This Row],[M8+]]-('statistics-M8'!$F42/365)))</f>
        <v>#VALUE!</v>
      </c>
      <c r="U36">
        <f>IF(ISBLANK(NFFT_All[[#This Row],[M4+]]),"",ABS(NFFT_All[[#This Row],[M4+]]-('statistics-M4'!$J42/365)))</f>
        <v>1.7240547945205482</v>
      </c>
      <c r="V36">
        <f>IF(ISBLANK(NFFT_All[[#This Row],[M5+]]),"",ABS(NFFT_All[[#This Row],[M5+]]-('statistics-M5'!$J42/365)))</f>
        <v>1.7240547945205482</v>
      </c>
      <c r="W36">
        <f>IF(ISBLANK(NFFT_All[[#This Row],[M6+]]),"",ABS(NFFT_All[[#This Row],[M6+]]-('statistics-M6'!$J42/365)))</f>
        <v>2.3582602739726028</v>
      </c>
      <c r="X36" t="str">
        <f>IF(ISBLANK(NFFT_All[[#This Row],[M7+]]),"",ABS(NFFT_All[[#This Row],[M7+]]-('statistics-M7'!$J42/365)))</f>
        <v/>
      </c>
      <c r="Y36" t="e">
        <f>IF(ISBLANK(NFFT_All[[#This Row],[M8+]]),"",ABS(NFFT_All[[#This Row],[M8+]]-('statistics-M8'!$J42/365)))</f>
        <v>#VALUE!</v>
      </c>
    </row>
    <row r="37" spans="1:25" x14ac:dyDescent="0.35">
      <c r="A37" t="s">
        <v>24</v>
      </c>
      <c r="B37">
        <v>1</v>
      </c>
      <c r="C37">
        <v>2.0529999999999999</v>
      </c>
      <c r="D37">
        <v>2.2280000000000002</v>
      </c>
      <c r="G37" t="s">
        <v>57</v>
      </c>
      <c r="I37">
        <f>IF(ISBLANK(NFFT_All[[#This Row],[M4+]]),"",ABS(NFFT_All[[#This Row],[M4+]]-('statistics-M4'!I44/365)))</f>
        <v>0.71490476190476171</v>
      </c>
      <c r="J37">
        <f>IF(ISBLANK(NFFT_All[[#This Row],[M5+]]),"",ABS(NFFT_All[[#This Row],[M5+]]-('statistics-M5'!$I44/365)))</f>
        <v>0.68085388127853896</v>
      </c>
      <c r="K37" t="str">
        <f>IF(ISBLANK(NFFT_All[[#This Row],[M6+]]),"",ABS(NFFT_All[[#This Row],[M6+]]-('statistics-M6'!$I44/365)))</f>
        <v/>
      </c>
      <c r="L37" t="str">
        <f>IF(ISBLANK(NFFT_All[[#This Row],[M7+]]),"",ABS(NFFT_All[[#This Row],[M7+]]-('statistics-M7'!$I44/365)))</f>
        <v/>
      </c>
      <c r="M37" t="e">
        <f>IF(ISBLANK(NFFT_All[[#This Row],[M8+]]),"",ABS(NFFT_All[[#This Row],[M8+]]-('statistics-M8'!$I44/365)))</f>
        <v>#VALUE!</v>
      </c>
      <c r="O37">
        <f>IF(ISBLANK(NFFT_All[[#This Row],[M4+]]),"",ABS(NFFT_All[[#This Row],[M4+]]-('statistics-M4'!$F44/365)))</f>
        <v>1.2694383561643834</v>
      </c>
      <c r="P37">
        <f>IF(ISBLANK(NFFT_All[[#This Row],[M5+]]),"",ABS(NFFT_All[[#This Row],[M5+]]-('statistics-M5'!$F44/365)))</f>
        <v>1.4444383561643837</v>
      </c>
      <c r="Q37" t="str">
        <f>IF(ISBLANK(NFFT_All[[#This Row],[M6+]]),"",ABS(NFFT_All[[#This Row],[M6+]]-('statistics-M6'!$F44/365)))</f>
        <v/>
      </c>
      <c r="R37" t="str">
        <f>IF(ISBLANK(NFFT_All[[#This Row],[M7+]]),"",ABS(NFFT_All[[#This Row],[M7+]]-('statistics-M7'!$F44/365)))</f>
        <v/>
      </c>
      <c r="S37" t="e">
        <f>IF(ISBLANK(NFFT_All[[#This Row],[M8+]]),"",ABS(NFFT_All[[#This Row],[M8+]]-('statistics-M8'!$F44/365)))</f>
        <v>#VALUE!</v>
      </c>
      <c r="U37">
        <f>IF(ISBLANK(NFFT_All[[#This Row],[M4+]]),"",ABS(NFFT_All[[#This Row],[M4+]]-('statistics-M4'!$J44/365)))</f>
        <v>1.22286301369863</v>
      </c>
      <c r="V37">
        <f>IF(ISBLANK(NFFT_All[[#This Row],[M5+]]),"",ABS(NFFT_All[[#This Row],[M5+]]-('statistics-M5'!$J44/365)))</f>
        <v>1.3362191780821919</v>
      </c>
      <c r="W37" t="str">
        <f>IF(ISBLANK(NFFT_All[[#This Row],[M6+]]),"",ABS(NFFT_All[[#This Row],[M6+]]-('statistics-M6'!$J44/365)))</f>
        <v/>
      </c>
      <c r="X37" t="str">
        <f>IF(ISBLANK(NFFT_All[[#This Row],[M7+]]),"",ABS(NFFT_All[[#This Row],[M7+]]-('statistics-M7'!$J44/365)))</f>
        <v/>
      </c>
      <c r="Y37" t="e">
        <f>IF(ISBLANK(NFFT_All[[#This Row],[M8+]]),"",ABS(NFFT_All[[#This Row],[M8+]]-('statistics-M8'!$J44/365)))</f>
        <v>#VALUE!</v>
      </c>
    </row>
    <row r="38" spans="1:25" x14ac:dyDescent="0.35">
      <c r="A38" t="s">
        <v>24</v>
      </c>
      <c r="B38">
        <v>2</v>
      </c>
      <c r="G38" t="s">
        <v>58</v>
      </c>
      <c r="I38" t="str">
        <f>IF(ISBLANK(NFFT_All[[#This Row],[M4+]]),"",ABS(NFFT_All[[#This Row],[M4+]]-('statistics-M4'!I45/365)))</f>
        <v/>
      </c>
      <c r="J38" t="str">
        <f>IF(ISBLANK(NFFT_All[[#This Row],[M5+]]),"",ABS(NFFT_All[[#This Row],[M5+]]-('statistics-M5'!$I45/365)))</f>
        <v/>
      </c>
      <c r="K38" t="str">
        <f>IF(ISBLANK(NFFT_All[[#This Row],[M6+]]),"",ABS(NFFT_All[[#This Row],[M6+]]-('statistics-M6'!$I45/365)))</f>
        <v/>
      </c>
      <c r="L38" t="str">
        <f>IF(ISBLANK(NFFT_All[[#This Row],[M7+]]),"",ABS(NFFT_All[[#This Row],[M7+]]-('statistics-M7'!$I45/365)))</f>
        <v/>
      </c>
      <c r="M38" t="e">
        <f>IF(ISBLANK(NFFT_All[[#This Row],[M8+]]),"",ABS(NFFT_All[[#This Row],[M8+]]-('statistics-M8'!$I45/365)))</f>
        <v>#VALUE!</v>
      </c>
      <c r="O38" t="str">
        <f>IF(ISBLANK(NFFT_All[[#This Row],[M4+]]),"",ABS(NFFT_All[[#This Row],[M4+]]-('statistics-M4'!$F45/365)))</f>
        <v/>
      </c>
      <c r="P38" t="str">
        <f>IF(ISBLANK(NFFT_All[[#This Row],[M5+]]),"",ABS(NFFT_All[[#This Row],[M5+]]-('statistics-M5'!$F45/365)))</f>
        <v/>
      </c>
      <c r="Q38" t="str">
        <f>IF(ISBLANK(NFFT_All[[#This Row],[M6+]]),"",ABS(NFFT_All[[#This Row],[M6+]]-('statistics-M6'!$F45/365)))</f>
        <v/>
      </c>
      <c r="R38" t="str">
        <f>IF(ISBLANK(NFFT_All[[#This Row],[M7+]]),"",ABS(NFFT_All[[#This Row],[M7+]]-('statistics-M7'!$F45/365)))</f>
        <v/>
      </c>
      <c r="S38" t="e">
        <f>IF(ISBLANK(NFFT_All[[#This Row],[M8+]]),"",ABS(NFFT_All[[#This Row],[M8+]]-('statistics-M8'!$F45/365)))</f>
        <v>#VALUE!</v>
      </c>
      <c r="U38" t="str">
        <f>IF(ISBLANK(NFFT_All[[#This Row],[M4+]]),"",ABS(NFFT_All[[#This Row],[M4+]]-('statistics-M4'!$J45/365)))</f>
        <v/>
      </c>
      <c r="V38" t="str">
        <f>IF(ISBLANK(NFFT_All[[#This Row],[M5+]]),"",ABS(NFFT_All[[#This Row],[M5+]]-('statistics-M5'!$J45/365)))</f>
        <v/>
      </c>
      <c r="W38" t="str">
        <f>IF(ISBLANK(NFFT_All[[#This Row],[M6+]]),"",ABS(NFFT_All[[#This Row],[M6+]]-('statistics-M6'!$J45/365)))</f>
        <v/>
      </c>
      <c r="X38" t="str">
        <f>IF(ISBLANK(NFFT_All[[#This Row],[M7+]]),"",ABS(NFFT_All[[#This Row],[M7+]]-('statistics-M7'!$J45/365)))</f>
        <v/>
      </c>
      <c r="Y38" t="e">
        <f>IF(ISBLANK(NFFT_All[[#This Row],[M8+]]),"",ABS(NFFT_All[[#This Row],[M8+]]-('statistics-M8'!$J45/365)))</f>
        <v>#VALUE!</v>
      </c>
    </row>
    <row r="39" spans="1:25" x14ac:dyDescent="0.35">
      <c r="A39" t="s">
        <v>25</v>
      </c>
      <c r="B39">
        <v>1</v>
      </c>
      <c r="C39">
        <v>1.8919999999999999</v>
      </c>
      <c r="D39">
        <v>1.8919999999999999</v>
      </c>
      <c r="E39">
        <v>2.9830000000000001</v>
      </c>
      <c r="F39">
        <v>6.6230000000000002</v>
      </c>
      <c r="G39" t="s">
        <v>57</v>
      </c>
      <c r="I39">
        <f>IF(ISBLANK(NFFT_All[[#This Row],[M4+]]),"",ABS(NFFT_All[[#This Row],[M4+]]-('statistics-M4'!I46/365)))</f>
        <v>0.9442034618243601</v>
      </c>
      <c r="J39">
        <f>IF(ISBLANK(NFFT_All[[#This Row],[M5+]]),"",ABS(NFFT_All[[#This Row],[M5+]]-('statistics-M5'!$I46/365)))</f>
        <v>0.9442034618243601</v>
      </c>
      <c r="K39">
        <f>IF(ISBLANK(NFFT_All[[#This Row],[M6+]]),"",ABS(NFFT_All[[#This Row],[M6+]]-('statistics-M6'!$I46/365)))</f>
        <v>1.9808216932405123</v>
      </c>
      <c r="L39">
        <f>IF(ISBLANK(NFFT_All[[#This Row],[M7+]]),"",ABS(NFFT_All[[#This Row],[M7+]]-('statistics-M7'!$I46/365)))</f>
        <v>3.8226177126473404</v>
      </c>
      <c r="M39" t="e">
        <f>IF(ISBLANK(NFFT_All[[#This Row],[M8+]]),"",ABS(NFFT_All[[#This Row],[M8+]]-('statistics-M8'!$I46/365)))</f>
        <v>#VALUE!</v>
      </c>
      <c r="O39">
        <f>IF(ISBLANK(NFFT_All[[#This Row],[M4+]]),"",ABS(NFFT_All[[#This Row],[M4+]]-('statistics-M4'!$F46/365)))</f>
        <v>1.0454246575342465</v>
      </c>
      <c r="P39">
        <f>IF(ISBLANK(NFFT_All[[#This Row],[M5+]]),"",ABS(NFFT_All[[#This Row],[M5+]]-('statistics-M5'!$F46/365)))</f>
        <v>1.0454246575342465</v>
      </c>
      <c r="Q39">
        <f>IF(ISBLANK(NFFT_All[[#This Row],[M6+]]),"",ABS(NFFT_All[[#This Row],[M6+]]-('statistics-M6'!$F46/365)))</f>
        <v>2.1364246575342465</v>
      </c>
      <c r="R39">
        <f>IF(ISBLANK(NFFT_All[[#This Row],[M7+]]),"",ABS(NFFT_All[[#This Row],[M7+]]-('statistics-M7'!$F46/365)))</f>
        <v>4.6038219178082196</v>
      </c>
      <c r="S39" t="e">
        <f>IF(ISBLANK(NFFT_All[[#This Row],[M8+]]),"",ABS(NFFT_All[[#This Row],[M8+]]-('statistics-M8'!$F46/365)))</f>
        <v>#VALUE!</v>
      </c>
      <c r="U39">
        <f>IF(ISBLANK(NFFT_All[[#This Row],[M4+]]),"",ABS(NFFT_All[[#This Row],[M4+]]-('statistics-M4'!$J46/365)))</f>
        <v>1.0454246575342465</v>
      </c>
      <c r="V39">
        <f>IF(ISBLANK(NFFT_All[[#This Row],[M5+]]),"",ABS(NFFT_All[[#This Row],[M5+]]-('statistics-M5'!$J46/365)))</f>
        <v>1.0454246575342465</v>
      </c>
      <c r="W39">
        <f>IF(ISBLANK(NFFT_All[[#This Row],[M6+]]),"",ABS(NFFT_All[[#This Row],[M6+]]-('statistics-M6'!$J46/365)))</f>
        <v>2.0994383561643835</v>
      </c>
      <c r="X39">
        <f>IF(ISBLANK(NFFT_All[[#This Row],[M7+]]),"",ABS(NFFT_All[[#This Row],[M7+]]-('statistics-M7'!$J46/365)))</f>
        <v>4.6038219178082196</v>
      </c>
      <c r="Y39" t="e">
        <f>IF(ISBLANK(NFFT_All[[#This Row],[M8+]]),"",ABS(NFFT_All[[#This Row],[M8+]]-('statistics-M8'!$J46/365)))</f>
        <v>#VALUE!</v>
      </c>
    </row>
    <row r="40" spans="1:25" x14ac:dyDescent="0.35">
      <c r="A40" t="s">
        <v>25</v>
      </c>
      <c r="B40">
        <v>2</v>
      </c>
      <c r="C40">
        <v>1.748</v>
      </c>
      <c r="D40">
        <v>1.748</v>
      </c>
      <c r="G40" t="s">
        <v>58</v>
      </c>
      <c r="I40">
        <f>IF(ISBLANK(NFFT_All[[#This Row],[M4+]]),"",ABS(NFFT_All[[#This Row],[M4+]]-('statistics-M4'!I47/365)))</f>
        <v>0.58666828507022717</v>
      </c>
      <c r="J40">
        <f>IF(ISBLANK(NFFT_All[[#This Row],[M5+]]),"",ABS(NFFT_All[[#This Row],[M5+]]-('statistics-M5'!$I47/365)))</f>
        <v>0.58666828507022717</v>
      </c>
      <c r="K40" t="str">
        <f>IF(ISBLANK(NFFT_All[[#This Row],[M6+]]),"",ABS(NFFT_All[[#This Row],[M6+]]-('statistics-M6'!$I47/365)))</f>
        <v/>
      </c>
      <c r="L40" t="str">
        <f>IF(ISBLANK(NFFT_All[[#This Row],[M7+]]),"",ABS(NFFT_All[[#This Row],[M7+]]-('statistics-M7'!$I47/365)))</f>
        <v/>
      </c>
      <c r="M40" t="e">
        <f>IF(ISBLANK(NFFT_All[[#This Row],[M8+]]),"",ABS(NFFT_All[[#This Row],[M8+]]-('statistics-M8'!$I47/365)))</f>
        <v>#VALUE!</v>
      </c>
      <c r="O40">
        <f>IF(ISBLANK(NFFT_All[[#This Row],[M4+]]),"",ABS(NFFT_All[[#This Row],[M4+]]-('statistics-M4'!$F47/365)))</f>
        <v>1.2137534246575341</v>
      </c>
      <c r="P40">
        <f>IF(ISBLANK(NFFT_All[[#This Row],[M5+]]),"",ABS(NFFT_All[[#This Row],[M5+]]-('statistics-M5'!$F47/365)))</f>
        <v>1.2137534246575341</v>
      </c>
      <c r="Q40" t="str">
        <f>IF(ISBLANK(NFFT_All[[#This Row],[M6+]]),"",ABS(NFFT_All[[#This Row],[M6+]]-('statistics-M6'!$F47/365)))</f>
        <v/>
      </c>
      <c r="R40" t="str">
        <f>IF(ISBLANK(NFFT_All[[#This Row],[M7+]]),"",ABS(NFFT_All[[#This Row],[M7+]]-('statistics-M7'!$F47/365)))</f>
        <v/>
      </c>
      <c r="S40" t="e">
        <f>IF(ISBLANK(NFFT_All[[#This Row],[M8+]]),"",ABS(NFFT_All[[#This Row],[M8+]]-('statistics-M8'!$F47/365)))</f>
        <v>#VALUE!</v>
      </c>
      <c r="U40">
        <f>IF(ISBLANK(NFFT_All[[#This Row],[M4+]]),"",ABS(NFFT_All[[#This Row],[M4+]]-('statistics-M4'!$J47/365)))</f>
        <v>0.9233424657534246</v>
      </c>
      <c r="V40">
        <f>IF(ISBLANK(NFFT_All[[#This Row],[M5+]]),"",ABS(NFFT_All[[#This Row],[M5+]]-('statistics-M5'!$J47/365)))</f>
        <v>0.9233424657534246</v>
      </c>
      <c r="W40" t="str">
        <f>IF(ISBLANK(NFFT_All[[#This Row],[M6+]]),"",ABS(NFFT_All[[#This Row],[M6+]]-('statistics-M6'!$J47/365)))</f>
        <v/>
      </c>
      <c r="X40" t="str">
        <f>IF(ISBLANK(NFFT_All[[#This Row],[M7+]]),"",ABS(NFFT_All[[#This Row],[M7+]]-('statistics-M7'!$J47/365)))</f>
        <v/>
      </c>
      <c r="Y40" t="e">
        <f>IF(ISBLANK(NFFT_All[[#This Row],[M8+]]),"",ABS(NFFT_All[[#This Row],[M8+]]-('statistics-M8'!$J47/365)))</f>
        <v>#VALUE!</v>
      </c>
    </row>
    <row r="41" spans="1:25" x14ac:dyDescent="0.35">
      <c r="A41" t="s">
        <v>25</v>
      </c>
      <c r="B41">
        <v>3</v>
      </c>
      <c r="C41">
        <v>2.1190000000000002</v>
      </c>
      <c r="D41">
        <v>2.1190000000000002</v>
      </c>
      <c r="G41" t="s">
        <v>58</v>
      </c>
      <c r="I41">
        <f>IF(ISBLANK(NFFT_All[[#This Row],[M4+]]),"",ABS(NFFT_All[[#This Row],[M4+]]-('statistics-M4'!I48/365)))</f>
        <v>0.63075628705786158</v>
      </c>
      <c r="J41">
        <f>IF(ISBLANK(NFFT_All[[#This Row],[M5+]]),"",ABS(NFFT_All[[#This Row],[M5+]]-('statistics-M5'!$I48/365)))</f>
        <v>0.63075628705786158</v>
      </c>
      <c r="K41" t="str">
        <f>IF(ISBLANK(NFFT_All[[#This Row],[M6+]]),"",ABS(NFFT_All[[#This Row],[M6+]]-('statistics-M6'!$I48/365)))</f>
        <v/>
      </c>
      <c r="L41" t="str">
        <f>IF(ISBLANK(NFFT_All[[#This Row],[M7+]]),"",ABS(NFFT_All[[#This Row],[M7+]]-('statistics-M7'!$I48/365)))</f>
        <v/>
      </c>
      <c r="M41" t="e">
        <f>IF(ISBLANK(NFFT_All[[#This Row],[M8+]]),"",ABS(NFFT_All[[#This Row],[M8+]]-('statistics-M8'!$I48/365)))</f>
        <v>#VALUE!</v>
      </c>
      <c r="O41">
        <f>IF(ISBLANK(NFFT_All[[#This Row],[M4+]]),"",ABS(NFFT_All[[#This Row],[M4+]]-('statistics-M4'!$F48/365)))</f>
        <v>1.4559863013698631</v>
      </c>
      <c r="P41">
        <f>IF(ISBLANK(NFFT_All[[#This Row],[M5+]]),"",ABS(NFFT_All[[#This Row],[M5+]]-('statistics-M5'!$F48/365)))</f>
        <v>1.4559863013698631</v>
      </c>
      <c r="Q41" t="str">
        <f>IF(ISBLANK(NFFT_All[[#This Row],[M6+]]),"",ABS(NFFT_All[[#This Row],[M6+]]-('statistics-M6'!$F48/365)))</f>
        <v/>
      </c>
      <c r="R41" t="str">
        <f>IF(ISBLANK(NFFT_All[[#This Row],[M7+]]),"",ABS(NFFT_All[[#This Row],[M7+]]-('statistics-M7'!$F48/365)))</f>
        <v/>
      </c>
      <c r="S41" t="e">
        <f>IF(ISBLANK(NFFT_All[[#This Row],[M8+]]),"",ABS(NFFT_All[[#This Row],[M8+]]-('statistics-M8'!$F48/365)))</f>
        <v>#VALUE!</v>
      </c>
      <c r="U41">
        <f>IF(ISBLANK(NFFT_All[[#This Row],[M4+]]),"",ABS(NFFT_All[[#This Row],[M4+]]-('statistics-M4'!$J48/365)))</f>
        <v>1.3190000000000002</v>
      </c>
      <c r="V41">
        <f>IF(ISBLANK(NFFT_All[[#This Row],[M5+]]),"",ABS(NFFT_All[[#This Row],[M5+]]-('statistics-M5'!$J48/365)))</f>
        <v>1.3190000000000002</v>
      </c>
      <c r="W41" t="str">
        <f>IF(ISBLANK(NFFT_All[[#This Row],[M6+]]),"",ABS(NFFT_All[[#This Row],[M6+]]-('statistics-M6'!$J48/365)))</f>
        <v/>
      </c>
      <c r="X41" t="str">
        <f>IF(ISBLANK(NFFT_All[[#This Row],[M7+]]),"",ABS(NFFT_All[[#This Row],[M7+]]-('statistics-M7'!$J48/365)))</f>
        <v/>
      </c>
      <c r="Y41" t="e">
        <f>IF(ISBLANK(NFFT_All[[#This Row],[M8+]]),"",ABS(NFFT_All[[#This Row],[M8+]]-('statistics-M8'!$J48/365)))</f>
        <v>#VALUE!</v>
      </c>
    </row>
    <row r="42" spans="1:25" x14ac:dyDescent="0.35">
      <c r="A42" t="s">
        <v>26</v>
      </c>
      <c r="B42">
        <v>1</v>
      </c>
      <c r="C42">
        <v>2.2949999999999999</v>
      </c>
      <c r="D42">
        <v>2.2949999999999999</v>
      </c>
      <c r="E42">
        <v>5.7309999999999999</v>
      </c>
      <c r="G42" t="s">
        <v>57</v>
      </c>
      <c r="I42">
        <f>IF(ISBLANK(NFFT_All[[#This Row],[M4+]]),"",ABS(NFFT_All[[#This Row],[M4+]]-('statistics-M4'!I49/365)))</f>
        <v>0.91955079167407927</v>
      </c>
      <c r="J42">
        <f>IF(ISBLANK(NFFT_All[[#This Row],[M5+]]),"",ABS(NFFT_All[[#This Row],[M5+]]-('statistics-M5'!$I49/365)))</f>
        <v>0.91955079167407927</v>
      </c>
      <c r="K42">
        <f>IF(ISBLANK(NFFT_All[[#This Row],[M6+]]),"",ABS(NFFT_All[[#This Row],[M6+]]-('statistics-M6'!$I49/365)))</f>
        <v>0.99438729763387279</v>
      </c>
      <c r="L42" t="str">
        <f>IF(ISBLANK(NFFT_All[[#This Row],[M7+]]),"",ABS(NFFT_All[[#This Row],[M7+]]-('statistics-M7'!$I49/365)))</f>
        <v/>
      </c>
      <c r="M42" t="e">
        <f>IF(ISBLANK(NFFT_All[[#This Row],[M8+]]),"",ABS(NFFT_All[[#This Row],[M8+]]-('statistics-M8'!$I49/365)))</f>
        <v>#VALUE!</v>
      </c>
      <c r="O42">
        <f>IF(ISBLANK(NFFT_All[[#This Row],[M4+]]),"",ABS(NFFT_All[[#This Row],[M4+]]-('statistics-M4'!$F49/365)))</f>
        <v>1.5059589041095891</v>
      </c>
      <c r="P42">
        <f>IF(ISBLANK(NFFT_All[[#This Row],[M5+]]),"",ABS(NFFT_All[[#This Row],[M5+]]-('statistics-M5'!$F49/365)))</f>
        <v>1.5059589041095891</v>
      </c>
      <c r="Q42">
        <f>IF(ISBLANK(NFFT_All[[#This Row],[M6+]]),"",ABS(NFFT_All[[#This Row],[M6+]]-('statistics-M6'!$F49/365)))</f>
        <v>3.1940136986301368</v>
      </c>
      <c r="R42" t="str">
        <f>IF(ISBLANK(NFFT_All[[#This Row],[M7+]]),"",ABS(NFFT_All[[#This Row],[M7+]]-('statistics-M7'!$F49/365)))</f>
        <v/>
      </c>
      <c r="S42" t="e">
        <f>IF(ISBLANK(NFFT_All[[#This Row],[M8+]]),"",ABS(NFFT_All[[#This Row],[M8+]]-('statistics-M8'!$F49/365)))</f>
        <v>#VALUE!</v>
      </c>
      <c r="U42">
        <f>IF(ISBLANK(NFFT_All[[#This Row],[M4+]]),"",ABS(NFFT_All[[#This Row],[M4+]]-('statistics-M4'!$J49/365)))</f>
        <v>1.4402054794520547</v>
      </c>
      <c r="V42">
        <f>IF(ISBLANK(NFFT_All[[#This Row],[M5+]]),"",ABS(NFFT_All[[#This Row],[M5+]]-('statistics-M5'!$J49/365)))</f>
        <v>1.4402054794520547</v>
      </c>
      <c r="W42">
        <f>IF(ISBLANK(NFFT_All[[#This Row],[M6+]]),"",ABS(NFFT_All[[#This Row],[M6+]]-('statistics-M6'!$J49/365)))</f>
        <v>2.5720958904109588</v>
      </c>
      <c r="X42" t="str">
        <f>IF(ISBLANK(NFFT_All[[#This Row],[M7+]]),"",ABS(NFFT_All[[#This Row],[M7+]]-('statistics-M7'!$J49/365)))</f>
        <v/>
      </c>
      <c r="Y42" t="e">
        <f>IF(ISBLANK(NFFT_All[[#This Row],[M8+]]),"",ABS(NFFT_All[[#This Row],[M8+]]-('statistics-M8'!$J49/365)))</f>
        <v>#VALUE!</v>
      </c>
    </row>
    <row r="43" spans="1:25" x14ac:dyDescent="0.35">
      <c r="A43" t="s">
        <v>26</v>
      </c>
      <c r="B43">
        <v>2</v>
      </c>
      <c r="C43">
        <v>2.4870000000000001</v>
      </c>
      <c r="D43">
        <v>2.4870000000000001</v>
      </c>
      <c r="E43">
        <v>0.97799999999999998</v>
      </c>
      <c r="G43" t="s">
        <v>57</v>
      </c>
      <c r="I43">
        <f>IF(ISBLANK(NFFT_All[[#This Row],[M4+]]),"",ABS(NFFT_All[[#This Row],[M4+]]-('statistics-M4'!I50/365)))</f>
        <v>1.0454673416716298</v>
      </c>
      <c r="J43">
        <f>IF(ISBLANK(NFFT_All[[#This Row],[M5+]]),"",ABS(NFFT_All[[#This Row],[M5+]]-('statistics-M5'!$I50/365)))</f>
        <v>1.0454673416716298</v>
      </c>
      <c r="K43">
        <f>IF(ISBLANK(NFFT_All[[#This Row],[M6+]]),"",ABS(NFFT_All[[#This Row],[M6+]]-('statistics-M6'!$I50/365)))</f>
        <v>1.1287397260273975</v>
      </c>
      <c r="L43" t="str">
        <f>IF(ISBLANK(NFFT_All[[#This Row],[M7+]]),"",ABS(NFFT_All[[#This Row],[M7+]]-('statistics-M7'!$I50/365)))</f>
        <v/>
      </c>
      <c r="M43" t="e">
        <f>IF(ISBLANK(NFFT_All[[#This Row],[M8+]]),"",ABS(NFFT_All[[#This Row],[M8+]]-('statistics-M8'!$I50/365)))</f>
        <v>#VALUE!</v>
      </c>
      <c r="O43">
        <f>IF(ISBLANK(NFFT_All[[#This Row],[M4+]]),"",ABS(NFFT_All[[#This Row],[M4+]]-('statistics-M4'!$F50/365)))</f>
        <v>1.9445342465753426</v>
      </c>
      <c r="P43">
        <f>IF(ISBLANK(NFFT_All[[#This Row],[M5+]]),"",ABS(NFFT_All[[#This Row],[M5+]]-('statistics-M5'!$F50/365)))</f>
        <v>1.9445342465753426</v>
      </c>
      <c r="Q43">
        <f>IF(ISBLANK(NFFT_All[[#This Row],[M6+]]),"",ABS(NFFT_All[[#This Row],[M6+]]-('statistics-M6'!$F50/365)))</f>
        <v>0.43553424657534245</v>
      </c>
      <c r="R43" t="str">
        <f>IF(ISBLANK(NFFT_All[[#This Row],[M7+]]),"",ABS(NFFT_All[[#This Row],[M7+]]-('statistics-M7'!$F50/365)))</f>
        <v/>
      </c>
      <c r="S43" t="e">
        <f>IF(ISBLANK(NFFT_All[[#This Row],[M8+]]),"",ABS(NFFT_All[[#This Row],[M8+]]-('statistics-M8'!$F50/365)))</f>
        <v>#VALUE!</v>
      </c>
      <c r="U43">
        <f>IF(ISBLANK(NFFT_All[[#This Row],[M4+]]),"",ABS(NFFT_All[[#This Row],[M4+]]-('statistics-M4'!$J50/365)))</f>
        <v>1.6623424657534247</v>
      </c>
      <c r="V43">
        <f>IF(ISBLANK(NFFT_All[[#This Row],[M5+]]),"",ABS(NFFT_All[[#This Row],[M5+]]-('statistics-M5'!$J50/365)))</f>
        <v>1.6623424657534247</v>
      </c>
      <c r="W43">
        <f>IF(ISBLANK(NFFT_All[[#This Row],[M6+]]),"",ABS(NFFT_All[[#This Row],[M6+]]-('statistics-M6'!$J50/365)))</f>
        <v>0.91241095890410961</v>
      </c>
      <c r="X43" t="str">
        <f>IF(ISBLANK(NFFT_All[[#This Row],[M7+]]),"",ABS(NFFT_All[[#This Row],[M7+]]-('statistics-M7'!$J50/365)))</f>
        <v/>
      </c>
      <c r="Y43" t="e">
        <f>IF(ISBLANK(NFFT_All[[#This Row],[M8+]]),"",ABS(NFFT_All[[#This Row],[M8+]]-('statistics-M8'!$J50/365)))</f>
        <v>#VALUE!</v>
      </c>
    </row>
    <row r="44" spans="1:25" x14ac:dyDescent="0.35">
      <c r="A44" t="s">
        <v>26</v>
      </c>
      <c r="B44">
        <v>3</v>
      </c>
      <c r="C44">
        <v>1.9570000000000001</v>
      </c>
      <c r="D44">
        <v>1.8819999999999999</v>
      </c>
      <c r="E44">
        <v>4.4290000000000003</v>
      </c>
      <c r="G44" t="s">
        <v>57</v>
      </c>
      <c r="I44">
        <f>IF(ISBLANK(NFFT_All[[#This Row],[M4+]]),"",ABS(NFFT_All[[#This Row],[M4+]]-('statistics-M4'!I51/365)))</f>
        <v>0.12438842244807802</v>
      </c>
      <c r="J44">
        <f>IF(ISBLANK(NFFT_All[[#This Row],[M5+]]),"",ABS(NFFT_All[[#This Row],[M5+]]-('statistics-M5'!$I51/365)))</f>
        <v>0.42199776348895734</v>
      </c>
      <c r="K44">
        <f>IF(ISBLANK(NFFT_All[[#This Row],[M6+]]),"",ABS(NFFT_All[[#This Row],[M6+]]-('statistics-M6'!$I51/365)))</f>
        <v>0.18492694063926862</v>
      </c>
      <c r="L44" t="str">
        <f>IF(ISBLANK(NFFT_All[[#This Row],[M7+]]),"",ABS(NFFT_All[[#This Row],[M7+]]-('statistics-M7'!$I51/365)))</f>
        <v/>
      </c>
      <c r="M44" t="e">
        <f>IF(ISBLANK(NFFT_All[[#This Row],[M8+]]),"",ABS(NFFT_All[[#This Row],[M8+]]-('statistics-M8'!$I51/365)))</f>
        <v>#VALUE!</v>
      </c>
      <c r="O44">
        <f>IF(ISBLANK(NFFT_All[[#This Row],[M4+]]),"",ABS(NFFT_All[[#This Row],[M4+]]-('statistics-M4'!$F51/365)))</f>
        <v>1.3186438356164385</v>
      </c>
      <c r="P44">
        <f>IF(ISBLANK(NFFT_All[[#This Row],[M5+]]),"",ABS(NFFT_All[[#This Row],[M5+]]-('statistics-M5'!$F51/365)))</f>
        <v>1.2436438356164383</v>
      </c>
      <c r="Q44">
        <f>IF(ISBLANK(NFFT_All[[#This Row],[M6+]]),"",ABS(NFFT_All[[#This Row],[M6+]]-('statistics-M6'!$F51/365)))</f>
        <v>3.8892739726027399</v>
      </c>
      <c r="R44" t="str">
        <f>IF(ISBLANK(NFFT_All[[#This Row],[M7+]]),"",ABS(NFFT_All[[#This Row],[M7+]]-('statistics-M7'!$F51/365)))</f>
        <v/>
      </c>
      <c r="S44" t="e">
        <f>IF(ISBLANK(NFFT_All[[#This Row],[M8+]]),"",ABS(NFFT_All[[#This Row],[M8+]]-('statistics-M8'!$F51/365)))</f>
        <v>#VALUE!</v>
      </c>
      <c r="U44">
        <f>IF(ISBLANK(NFFT_All[[#This Row],[M4+]]),"",ABS(NFFT_All[[#This Row],[M4+]]-('statistics-M4'!$J51/365)))</f>
        <v>1.0104246575342466</v>
      </c>
      <c r="V44">
        <f>IF(ISBLANK(NFFT_All[[#This Row],[M5+]]),"",ABS(NFFT_All[[#This Row],[M5+]]-('statistics-M5'!$J51/365)))</f>
        <v>0.69843835616438343</v>
      </c>
      <c r="W44">
        <f>IF(ISBLANK(NFFT_All[[#This Row],[M6+]]),"",ABS(NFFT_All[[#This Row],[M6+]]-('statistics-M6'!$J51/365)))</f>
        <v>1.9029726027397262</v>
      </c>
      <c r="X44" t="str">
        <f>IF(ISBLANK(NFFT_All[[#This Row],[M7+]]),"",ABS(NFFT_All[[#This Row],[M7+]]-('statistics-M7'!$J51/365)))</f>
        <v/>
      </c>
      <c r="Y44" t="e">
        <f>IF(ISBLANK(NFFT_All[[#This Row],[M8+]]),"",ABS(NFFT_All[[#This Row],[M8+]]-('statistics-M8'!$J51/365)))</f>
        <v>#VALUE!</v>
      </c>
    </row>
    <row r="45" spans="1:25" x14ac:dyDescent="0.35">
      <c r="A45" t="s">
        <v>27</v>
      </c>
      <c r="B45">
        <v>1</v>
      </c>
      <c r="C45">
        <v>2.57</v>
      </c>
      <c r="D45">
        <v>2.57</v>
      </c>
      <c r="E45">
        <v>2.4950000000000001</v>
      </c>
      <c r="F45">
        <v>3.1419999999999999</v>
      </c>
      <c r="G45" t="s">
        <v>57</v>
      </c>
      <c r="I45">
        <f>IF(ISBLANK(NFFT_All[[#This Row],[M4+]]),"",ABS(NFFT_All[[#This Row],[M4+]]-('statistics-M4'!I52/365)))</f>
        <v>1.5045401174168296</v>
      </c>
      <c r="J45">
        <f>IF(ISBLANK(NFFT_All[[#This Row],[M5+]]),"",ABS(NFFT_All[[#This Row],[M5+]]-('statistics-M5'!$I52/365)))</f>
        <v>1.5045401174168296</v>
      </c>
      <c r="K45">
        <f>IF(ISBLANK(NFFT_All[[#This Row],[M6+]]),"",ABS(NFFT_All[[#This Row],[M6+]]-('statistics-M6'!$I52/365)))</f>
        <v>1.1979184038117929</v>
      </c>
      <c r="L45">
        <f>IF(ISBLANK(NFFT_All[[#This Row],[M7+]]),"",ABS(NFFT_All[[#This Row],[M7+]]-('statistics-M7'!$I52/365)))</f>
        <v>0.54019178082191788</v>
      </c>
      <c r="M45" t="e">
        <f>IF(ISBLANK(NFFT_All[[#This Row],[M8+]]),"",ABS(NFFT_All[[#This Row],[M8+]]-('statistics-M8'!$I52/365)))</f>
        <v>#VALUE!</v>
      </c>
      <c r="O45">
        <f>IF(ISBLANK(NFFT_All[[#This Row],[M4+]]),"",ABS(NFFT_All[[#This Row],[M4+]]-('statistics-M4'!$F52/365)))</f>
        <v>1.9398630136986301</v>
      </c>
      <c r="P45">
        <f>IF(ISBLANK(NFFT_All[[#This Row],[M5+]]),"",ABS(NFFT_All[[#This Row],[M5+]]-('statistics-M5'!$F52/365)))</f>
        <v>1.9398630136986301</v>
      </c>
      <c r="Q45">
        <f>IF(ISBLANK(NFFT_All[[#This Row],[M6+]]),"",ABS(NFFT_All[[#This Row],[M6+]]-('statistics-M6'!$F52/365)))</f>
        <v>1.840205479452055</v>
      </c>
      <c r="R45">
        <f>IF(ISBLANK(NFFT_All[[#This Row],[M7+]]),"",ABS(NFFT_All[[#This Row],[M7+]]-('statistics-M7'!$F52/365)))</f>
        <v>2.6132328767123285</v>
      </c>
      <c r="S45" t="e">
        <f>IF(ISBLANK(NFFT_All[[#This Row],[M8+]]),"",ABS(NFFT_All[[#This Row],[M8+]]-('statistics-M8'!$F52/365)))</f>
        <v>#VALUE!</v>
      </c>
      <c r="U45">
        <f>IF(ISBLANK(NFFT_All[[#This Row],[M4+]]),"",ABS(NFFT_All[[#This Row],[M4+]]-('statistics-M4'!$J52/365)))</f>
        <v>1.6590410958904109</v>
      </c>
      <c r="V45">
        <f>IF(ISBLANK(NFFT_All[[#This Row],[M5+]]),"",ABS(NFFT_All[[#This Row],[M5+]]-('statistics-M5'!$J52/365)))</f>
        <v>1.6590410958904109</v>
      </c>
      <c r="W45">
        <f>IF(ISBLANK(NFFT_All[[#This Row],[M6+]]),"",ABS(NFFT_All[[#This Row],[M6+]]-('statistics-M6'!$J52/365)))</f>
        <v>1.4306164383561646</v>
      </c>
      <c r="X45">
        <f>IF(ISBLANK(NFFT_All[[#This Row],[M7+]]),"",ABS(NFFT_All[[#This Row],[M7+]]-('statistics-M7'!$J52/365)))</f>
        <v>0.17580821917808231</v>
      </c>
      <c r="Y45" t="e">
        <f>IF(ISBLANK(NFFT_All[[#This Row],[M8+]]),"",ABS(NFFT_All[[#This Row],[M8+]]-('statistics-M8'!$J52/365)))</f>
        <v>#VALUE!</v>
      </c>
    </row>
    <row r="46" spans="1:25" x14ac:dyDescent="0.35">
      <c r="A46" t="s">
        <v>27</v>
      </c>
      <c r="B46">
        <v>2</v>
      </c>
      <c r="G46" t="s">
        <v>58</v>
      </c>
      <c r="I46" t="str">
        <f>IF(ISBLANK(NFFT_All[[#This Row],[M4+]]),"",ABS(NFFT_All[[#This Row],[M4+]]-('statistics-M4'!I53/365)))</f>
        <v/>
      </c>
      <c r="J46" t="str">
        <f>IF(ISBLANK(NFFT_All[[#This Row],[M5+]]),"",ABS(NFFT_All[[#This Row],[M5+]]-('statistics-M5'!$I53/365)))</f>
        <v/>
      </c>
      <c r="K46" t="str">
        <f>IF(ISBLANK(NFFT_All[[#This Row],[M6+]]),"",ABS(NFFT_All[[#This Row],[M6+]]-('statistics-M6'!$I53/365)))</f>
        <v/>
      </c>
      <c r="L46" t="str">
        <f>IF(ISBLANK(NFFT_All[[#This Row],[M7+]]),"",ABS(NFFT_All[[#This Row],[M7+]]-('statistics-M7'!$I53/365)))</f>
        <v/>
      </c>
      <c r="M46" t="e">
        <f>IF(ISBLANK(NFFT_All[[#This Row],[M8+]]),"",ABS(NFFT_All[[#This Row],[M8+]]-('statistics-M8'!$I53/365)))</f>
        <v>#VALUE!</v>
      </c>
      <c r="O46" t="str">
        <f>IF(ISBLANK(NFFT_All[[#This Row],[M4+]]),"",ABS(NFFT_All[[#This Row],[M4+]]-('statistics-M4'!$F53/365)))</f>
        <v/>
      </c>
      <c r="P46" t="str">
        <f>IF(ISBLANK(NFFT_All[[#This Row],[M5+]]),"",ABS(NFFT_All[[#This Row],[M5+]]-('statistics-M5'!$F53/365)))</f>
        <v/>
      </c>
      <c r="Q46" t="str">
        <f>IF(ISBLANK(NFFT_All[[#This Row],[M6+]]),"",ABS(NFFT_All[[#This Row],[M6+]]-('statistics-M6'!$F53/365)))</f>
        <v/>
      </c>
      <c r="R46" t="str">
        <f>IF(ISBLANK(NFFT_All[[#This Row],[M7+]]),"",ABS(NFFT_All[[#This Row],[M7+]]-('statistics-M7'!$F53/365)))</f>
        <v/>
      </c>
      <c r="S46" t="e">
        <f>IF(ISBLANK(NFFT_All[[#This Row],[M8+]]),"",ABS(NFFT_All[[#This Row],[M8+]]-('statistics-M8'!$F53/365)))</f>
        <v>#VALUE!</v>
      </c>
      <c r="U46" t="str">
        <f>IF(ISBLANK(NFFT_All[[#This Row],[M4+]]),"",ABS(NFFT_All[[#This Row],[M4+]]-('statistics-M4'!$J53/365)))</f>
        <v/>
      </c>
      <c r="V46" t="str">
        <f>IF(ISBLANK(NFFT_All[[#This Row],[M5+]]),"",ABS(NFFT_All[[#This Row],[M5+]]-('statistics-M5'!$J53/365)))</f>
        <v/>
      </c>
      <c r="W46" t="str">
        <f>IF(ISBLANK(NFFT_All[[#This Row],[M6+]]),"",ABS(NFFT_All[[#This Row],[M6+]]-('statistics-M6'!$J53/365)))</f>
        <v/>
      </c>
      <c r="X46" t="str">
        <f>IF(ISBLANK(NFFT_All[[#This Row],[M7+]]),"",ABS(NFFT_All[[#This Row],[M7+]]-('statistics-M7'!$J53/365)))</f>
        <v/>
      </c>
      <c r="Y46" t="e">
        <f>IF(ISBLANK(NFFT_All[[#This Row],[M8+]]),"",ABS(NFFT_All[[#This Row],[M8+]]-('statistics-M8'!$J53/365)))</f>
        <v>#VALUE!</v>
      </c>
    </row>
    <row r="47" spans="1:25" x14ac:dyDescent="0.35">
      <c r="A47" t="s">
        <v>27</v>
      </c>
      <c r="B47">
        <v>3</v>
      </c>
      <c r="G47" t="s">
        <v>58</v>
      </c>
      <c r="I47" t="str">
        <f>IF(ISBLANK(NFFT_All[[#This Row],[M4+]]),"",ABS(NFFT_All[[#This Row],[M4+]]-('statistics-M4'!I54/365)))</f>
        <v/>
      </c>
      <c r="J47" t="str">
        <f>IF(ISBLANK(NFFT_All[[#This Row],[M5+]]),"",ABS(NFFT_All[[#This Row],[M5+]]-('statistics-M5'!$I54/365)))</f>
        <v/>
      </c>
      <c r="K47" t="str">
        <f>IF(ISBLANK(NFFT_All[[#This Row],[M6+]]),"",ABS(NFFT_All[[#This Row],[M6+]]-('statistics-M6'!$I54/365)))</f>
        <v/>
      </c>
      <c r="L47" t="str">
        <f>IF(ISBLANK(NFFT_All[[#This Row],[M7+]]),"",ABS(NFFT_All[[#This Row],[M7+]]-('statistics-M7'!$I54/365)))</f>
        <v/>
      </c>
      <c r="M47" t="e">
        <f>IF(ISBLANK(NFFT_All[[#This Row],[M8+]]),"",ABS(NFFT_All[[#This Row],[M8+]]-('statistics-M8'!$I54/365)))</f>
        <v>#VALUE!</v>
      </c>
      <c r="O47" t="str">
        <f>IF(ISBLANK(NFFT_All[[#This Row],[M4+]]),"",ABS(NFFT_All[[#This Row],[M4+]]-('statistics-M4'!$F54/365)))</f>
        <v/>
      </c>
      <c r="P47" t="str">
        <f>IF(ISBLANK(NFFT_All[[#This Row],[M5+]]),"",ABS(NFFT_All[[#This Row],[M5+]]-('statistics-M5'!$F54/365)))</f>
        <v/>
      </c>
      <c r="Q47" t="str">
        <f>IF(ISBLANK(NFFT_All[[#This Row],[M6+]]),"",ABS(NFFT_All[[#This Row],[M6+]]-('statistics-M6'!$F54/365)))</f>
        <v/>
      </c>
      <c r="R47" t="str">
        <f>IF(ISBLANK(NFFT_All[[#This Row],[M7+]]),"",ABS(NFFT_All[[#This Row],[M7+]]-('statistics-M7'!$F54/365)))</f>
        <v/>
      </c>
      <c r="S47" t="e">
        <f>IF(ISBLANK(NFFT_All[[#This Row],[M8+]]),"",ABS(NFFT_All[[#This Row],[M8+]]-('statistics-M8'!$F54/365)))</f>
        <v>#VALUE!</v>
      </c>
      <c r="U47" t="str">
        <f>IF(ISBLANK(NFFT_All[[#This Row],[M4+]]),"",ABS(NFFT_All[[#This Row],[M4+]]-('statistics-M4'!$J54/365)))</f>
        <v/>
      </c>
      <c r="V47" t="str">
        <f>IF(ISBLANK(NFFT_All[[#This Row],[M5+]]),"",ABS(NFFT_All[[#This Row],[M5+]]-('statistics-M5'!$J54/365)))</f>
        <v/>
      </c>
      <c r="W47" t="str">
        <f>IF(ISBLANK(NFFT_All[[#This Row],[M6+]]),"",ABS(NFFT_All[[#This Row],[M6+]]-('statistics-M6'!$J54/365)))</f>
        <v/>
      </c>
      <c r="X47" t="str">
        <f>IF(ISBLANK(NFFT_All[[#This Row],[M7+]]),"",ABS(NFFT_All[[#This Row],[M7+]]-('statistics-M7'!$J54/365)))</f>
        <v/>
      </c>
      <c r="Y47" t="e">
        <f>IF(ISBLANK(NFFT_All[[#This Row],[M8+]]),"",ABS(NFFT_All[[#This Row],[M8+]]-('statistics-M8'!$J54/365)))</f>
        <v>#VALUE!</v>
      </c>
    </row>
    <row r="48" spans="1:25" x14ac:dyDescent="0.35">
      <c r="A48" t="s">
        <v>28</v>
      </c>
      <c r="B48">
        <v>1</v>
      </c>
      <c r="C48">
        <v>2.2029999999999998</v>
      </c>
      <c r="D48">
        <v>2.2029999999999998</v>
      </c>
      <c r="E48">
        <v>2.7970000000000002</v>
      </c>
      <c r="G48" t="s">
        <v>57</v>
      </c>
      <c r="I48">
        <f>IF(ISBLANK(NFFT_All[[#This Row],[M4+]]),"",ABS(NFFT_All[[#This Row],[M4+]]-('statistics-M4'!I55/365)))</f>
        <v>0.68252230417983828</v>
      </c>
      <c r="J48">
        <f>IF(ISBLANK(NFFT_All[[#This Row],[M5+]]),"",ABS(NFFT_All[[#This Row],[M5+]]-('statistics-M5'!$I55/365)))</f>
        <v>0.68252230417983828</v>
      </c>
      <c r="K48">
        <f>IF(ISBLANK(NFFT_All[[#This Row],[M6+]]),"",ABS(NFFT_All[[#This Row],[M6+]]-('statistics-M6'!$I55/365)))</f>
        <v>1.5068493150716122E-4</v>
      </c>
      <c r="L48" t="str">
        <f>IF(ISBLANK(NFFT_All[[#This Row],[M7+]]),"",ABS(NFFT_All[[#This Row],[M7+]]-('statistics-M7'!$I55/365)))</f>
        <v/>
      </c>
      <c r="M48" t="e">
        <f>IF(ISBLANK(NFFT_All[[#This Row],[M8+]]),"",ABS(NFFT_All[[#This Row],[M8+]]-('statistics-M8'!$I55/365)))</f>
        <v>#VALUE!</v>
      </c>
      <c r="O48">
        <f>IF(ISBLANK(NFFT_All[[#This Row],[M4+]]),"",ABS(NFFT_All[[#This Row],[M4+]]-('statistics-M4'!$F55/365)))</f>
        <v>1.2879315068493149</v>
      </c>
      <c r="P48">
        <f>IF(ISBLANK(NFFT_All[[#This Row],[M5+]]),"",ABS(NFFT_All[[#This Row],[M5+]]-('statistics-M5'!$F55/365)))</f>
        <v>1.2879315068493149</v>
      </c>
      <c r="Q48">
        <f>IF(ISBLANK(NFFT_All[[#This Row],[M6+]]),"",ABS(NFFT_All[[#This Row],[M6+]]-('statistics-M6'!$F55/365)))</f>
        <v>2.2874109589041098</v>
      </c>
      <c r="R48" t="str">
        <f>IF(ISBLANK(NFFT_All[[#This Row],[M7+]]),"",ABS(NFFT_All[[#This Row],[M7+]]-('statistics-M7'!$F55/365)))</f>
        <v/>
      </c>
      <c r="S48" t="e">
        <f>IF(ISBLANK(NFFT_All[[#This Row],[M8+]]),"",ABS(NFFT_All[[#This Row],[M8+]]-('statistics-M8'!$F55/365)))</f>
        <v>#VALUE!</v>
      </c>
      <c r="U48">
        <f>IF(ISBLANK(NFFT_All[[#This Row],[M4+]]),"",ABS(NFFT_All[[#This Row],[M4+]]-('statistics-M4'!$J55/365)))</f>
        <v>1.2769726027397259</v>
      </c>
      <c r="V48">
        <f>IF(ISBLANK(NFFT_All[[#This Row],[M5+]]),"",ABS(NFFT_All[[#This Row],[M5+]]-('statistics-M5'!$J55/365)))</f>
        <v>1.2769726027397259</v>
      </c>
      <c r="W48">
        <f>IF(ISBLANK(NFFT_All[[#This Row],[M6+]]),"",ABS(NFFT_All[[#This Row],[M6+]]-('statistics-M6'!$J55/365)))</f>
        <v>1.1654931506849318</v>
      </c>
      <c r="X48" t="str">
        <f>IF(ISBLANK(NFFT_All[[#This Row],[M7+]]),"",ABS(NFFT_All[[#This Row],[M7+]]-('statistics-M7'!$J55/365)))</f>
        <v/>
      </c>
      <c r="Y48" t="e">
        <f>IF(ISBLANK(NFFT_All[[#This Row],[M8+]]),"",ABS(NFFT_All[[#This Row],[M8+]]-('statistics-M8'!$J55/365)))</f>
        <v>#VALUE!</v>
      </c>
    </row>
    <row r="49" spans="1:25" x14ac:dyDescent="0.35">
      <c r="A49" t="s">
        <v>28</v>
      </c>
      <c r="B49">
        <v>2</v>
      </c>
      <c r="C49">
        <v>2.0009999999999999</v>
      </c>
      <c r="D49">
        <v>7.5490000000000004</v>
      </c>
      <c r="G49" t="s">
        <v>57</v>
      </c>
      <c r="I49">
        <f>IF(ISBLANK(NFFT_All[[#This Row],[M4+]]),"",ABS(NFFT_All[[#This Row],[M4+]]-('statistics-M4'!I56/365)))</f>
        <v>0.3049749344214514</v>
      </c>
      <c r="J49">
        <f>IF(ISBLANK(NFFT_All[[#This Row],[M5+]]),"",ABS(NFFT_All[[#This Row],[M5+]]-('statistics-M5'!$I56/365)))</f>
        <v>3.6974344422700587</v>
      </c>
      <c r="K49" t="str">
        <f>IF(ISBLANK(NFFT_All[[#This Row],[M6+]]),"",ABS(NFFT_All[[#This Row],[M6+]]-('statistics-M6'!$I56/365)))</f>
        <v/>
      </c>
      <c r="L49" t="str">
        <f>IF(ISBLANK(NFFT_All[[#This Row],[M7+]]),"",ABS(NFFT_All[[#This Row],[M7+]]-('statistics-M7'!$I56/365)))</f>
        <v/>
      </c>
      <c r="M49" t="e">
        <f>IF(ISBLANK(NFFT_All[[#This Row],[M8+]]),"",ABS(NFFT_All[[#This Row],[M8+]]-('statistics-M8'!$I56/365)))</f>
        <v>#VALUE!</v>
      </c>
      <c r="O49">
        <f>IF(ISBLANK(NFFT_All[[#This Row],[M4+]]),"",ABS(NFFT_All[[#This Row],[M4+]]-('statistics-M4'!$F56/365)))</f>
        <v>0.69689041095890403</v>
      </c>
      <c r="P49">
        <f>IF(ISBLANK(NFFT_All[[#This Row],[M5+]]),"",ABS(NFFT_All[[#This Row],[M5+]]-('statistics-M5'!$F56/365)))</f>
        <v>6.921602739726028</v>
      </c>
      <c r="Q49" t="str">
        <f>IF(ISBLANK(NFFT_All[[#This Row],[M6+]]),"",ABS(NFFT_All[[#This Row],[M6+]]-('statistics-M6'!$F56/365)))</f>
        <v/>
      </c>
      <c r="R49" t="str">
        <f>IF(ISBLANK(NFFT_All[[#This Row],[M7+]]),"",ABS(NFFT_All[[#This Row],[M7+]]-('statistics-M7'!$F56/365)))</f>
        <v/>
      </c>
      <c r="S49" t="e">
        <f>IF(ISBLANK(NFFT_All[[#This Row],[M8+]]),"",ABS(NFFT_All[[#This Row],[M8+]]-('statistics-M8'!$F56/365)))</f>
        <v>#VALUE!</v>
      </c>
      <c r="U49">
        <f>IF(ISBLANK(NFFT_All[[#This Row],[M4+]]),"",ABS(NFFT_All[[#This Row],[M4+]]-('statistics-M4'!$J56/365)))</f>
        <v>1.0064794520547944</v>
      </c>
      <c r="V49">
        <f>IF(ISBLANK(NFFT_All[[#This Row],[M5+]]),"",ABS(NFFT_All[[#This Row],[M5+]]-('statistics-M5'!$J56/365)))</f>
        <v>5.0572191780821925</v>
      </c>
      <c r="W49" t="str">
        <f>IF(ISBLANK(NFFT_All[[#This Row],[M6+]]),"",ABS(NFFT_All[[#This Row],[M6+]]-('statistics-M6'!$J56/365)))</f>
        <v/>
      </c>
      <c r="X49" t="str">
        <f>IF(ISBLANK(NFFT_All[[#This Row],[M7+]]),"",ABS(NFFT_All[[#This Row],[M7+]]-('statistics-M7'!$J56/365)))</f>
        <v/>
      </c>
      <c r="Y49" t="e">
        <f>IF(ISBLANK(NFFT_All[[#This Row],[M8+]]),"",ABS(NFFT_All[[#This Row],[M8+]]-('statistics-M8'!$J56/365)))</f>
        <v>#VALUE!</v>
      </c>
    </row>
    <row r="50" spans="1:25" x14ac:dyDescent="0.35">
      <c r="A50" t="s">
        <v>28</v>
      </c>
      <c r="B50">
        <v>3</v>
      </c>
      <c r="C50">
        <v>1.7230000000000001</v>
      </c>
      <c r="G50" t="s">
        <v>58</v>
      </c>
      <c r="I50">
        <f>IF(ISBLANK(NFFT_All[[#This Row],[M4+]]),"",ABS(NFFT_All[[#This Row],[M4+]]-('statistics-M4'!I57/365)))</f>
        <v>1.7936340508806266</v>
      </c>
      <c r="J50" t="str">
        <f>IF(ISBLANK(NFFT_All[[#This Row],[M5+]]),"",ABS(NFFT_All[[#This Row],[M5+]]-('statistics-M5'!$I57/365)))</f>
        <v/>
      </c>
      <c r="K50" t="str">
        <f>IF(ISBLANK(NFFT_All[[#This Row],[M6+]]),"",ABS(NFFT_All[[#This Row],[M6+]]-('statistics-M6'!$I57/365)))</f>
        <v/>
      </c>
      <c r="L50" t="str">
        <f>IF(ISBLANK(NFFT_All[[#This Row],[M7+]]),"",ABS(NFFT_All[[#This Row],[M7+]]-('statistics-M7'!$I57/365)))</f>
        <v/>
      </c>
      <c r="M50" t="e">
        <f>IF(ISBLANK(NFFT_All[[#This Row],[M8+]]),"",ABS(NFFT_All[[#This Row],[M8+]]-('statistics-M8'!$I57/365)))</f>
        <v>#VALUE!</v>
      </c>
      <c r="O50">
        <f>IF(ISBLANK(NFFT_All[[#This Row],[M4+]]),"",ABS(NFFT_All[[#This Row],[M4+]]-('statistics-M4'!$F57/365)))</f>
        <v>0.98875342465753435</v>
      </c>
      <c r="P50" t="str">
        <f>IF(ISBLANK(NFFT_All[[#This Row],[M5+]]),"",ABS(NFFT_All[[#This Row],[M5+]]-('statistics-M5'!$F57/365)))</f>
        <v/>
      </c>
      <c r="Q50" t="str">
        <f>IF(ISBLANK(NFFT_All[[#This Row],[M6+]]),"",ABS(NFFT_All[[#This Row],[M6+]]-('statistics-M6'!$F57/365)))</f>
        <v/>
      </c>
      <c r="R50" t="str">
        <f>IF(ISBLANK(NFFT_All[[#This Row],[M7+]]),"",ABS(NFFT_All[[#This Row],[M7+]]-('statistics-M7'!$F57/365)))</f>
        <v/>
      </c>
      <c r="S50" t="e">
        <f>IF(ISBLANK(NFFT_All[[#This Row],[M8+]]),"",ABS(NFFT_All[[#This Row],[M8+]]-('statistics-M8'!$F57/365)))</f>
        <v>#VALUE!</v>
      </c>
      <c r="U50">
        <f>IF(ISBLANK(NFFT_All[[#This Row],[M4+]]),"",ABS(NFFT_All[[#This Row],[M4+]]-('statistics-M4'!$J57/365)))</f>
        <v>0.48327397260273974</v>
      </c>
      <c r="V50" t="str">
        <f>IF(ISBLANK(NFFT_All[[#This Row],[M5+]]),"",ABS(NFFT_All[[#This Row],[M5+]]-('statistics-M5'!$J57/365)))</f>
        <v/>
      </c>
      <c r="W50" t="str">
        <f>IF(ISBLANK(NFFT_All[[#This Row],[M6+]]),"",ABS(NFFT_All[[#This Row],[M6+]]-('statistics-M6'!$J57/365)))</f>
        <v/>
      </c>
      <c r="X50" t="str">
        <f>IF(ISBLANK(NFFT_All[[#This Row],[M7+]]),"",ABS(NFFT_All[[#This Row],[M7+]]-('statistics-M7'!$J57/365)))</f>
        <v/>
      </c>
      <c r="Y50" t="e">
        <f>IF(ISBLANK(NFFT_All[[#This Row],[M8+]]),"",ABS(NFFT_All[[#This Row],[M8+]]-('statistics-M8'!$J57/365)))</f>
        <v>#VALUE!</v>
      </c>
    </row>
    <row r="51" spans="1:25" x14ac:dyDescent="0.35">
      <c r="A51" t="s">
        <v>29</v>
      </c>
      <c r="B51">
        <v>1</v>
      </c>
      <c r="C51">
        <v>1.4910000000000001</v>
      </c>
      <c r="D51">
        <v>1.4910000000000001</v>
      </c>
      <c r="E51">
        <v>1.4910000000000001</v>
      </c>
      <c r="F51">
        <v>2.9249999999999998</v>
      </c>
      <c r="G51" t="s">
        <v>57</v>
      </c>
      <c r="I51">
        <f>IF(ISBLANK(NFFT_All[[#This Row],[M4+]]),"",ABS(NFFT_All[[#This Row],[M4+]]-('statistics-M4'!I58/365)))</f>
        <v>0.60763952485870298</v>
      </c>
      <c r="J51">
        <f>IF(ISBLANK(NFFT_All[[#This Row],[M5+]]),"",ABS(NFFT_All[[#This Row],[M5+]]-('statistics-M5'!$I58/365)))</f>
        <v>0.60763952485870298</v>
      </c>
      <c r="K51">
        <f>IF(ISBLANK(NFFT_All[[#This Row],[M6+]]),"",ABS(NFFT_All[[#This Row],[M6+]]-('statistics-M6'!$I58/365)))</f>
        <v>0.60763952485870298</v>
      </c>
      <c r="L51">
        <f>IF(ISBLANK(NFFT_All[[#This Row],[M7+]]),"",ABS(NFFT_All[[#This Row],[M7+]]-('statistics-M7'!$I58/365)))</f>
        <v>1.4895392278953921</v>
      </c>
      <c r="M51" t="e">
        <f>IF(ISBLANK(NFFT_All[[#This Row],[M8+]]),"",ABS(NFFT_All[[#This Row],[M8+]]-('statistics-M8'!$I58/365)))</f>
        <v>#VALUE!</v>
      </c>
      <c r="O51">
        <f>IF(ISBLANK(NFFT_All[[#This Row],[M4+]]),"",ABS(NFFT_All[[#This Row],[M4+]]-('statistics-M4'!$F58/365)))</f>
        <v>0.97593150684931518</v>
      </c>
      <c r="P51">
        <f>IF(ISBLANK(NFFT_All[[#This Row],[M5+]]),"",ABS(NFFT_All[[#This Row],[M5+]]-('statistics-M5'!$F58/365)))</f>
        <v>0.97593150684931518</v>
      </c>
      <c r="Q51">
        <f>IF(ISBLANK(NFFT_All[[#This Row],[M6+]]),"",ABS(NFFT_All[[#This Row],[M6+]]-('statistics-M6'!$F58/365)))</f>
        <v>0.97593150684931518</v>
      </c>
      <c r="R51">
        <f>IF(ISBLANK(NFFT_All[[#This Row],[M7+]]),"",ABS(NFFT_All[[#This Row],[M7+]]-('statistics-M7'!$F58/365)))</f>
        <v>2.4099315068493148</v>
      </c>
      <c r="S51" t="e">
        <f>IF(ISBLANK(NFFT_All[[#This Row],[M8+]]),"",ABS(NFFT_All[[#This Row],[M8+]]-('statistics-M8'!$F58/365)))</f>
        <v>#VALUE!</v>
      </c>
      <c r="U51">
        <f>IF(ISBLANK(NFFT_All[[#This Row],[M4+]]),"",ABS(NFFT_All[[#This Row],[M4+]]-('statistics-M4'!$J58/365)))</f>
        <v>0.66086301369863021</v>
      </c>
      <c r="V51">
        <f>IF(ISBLANK(NFFT_All[[#This Row],[M5+]]),"",ABS(NFFT_All[[#This Row],[M5+]]-('statistics-M5'!$J58/365)))</f>
        <v>0.66086301369863021</v>
      </c>
      <c r="W51">
        <f>IF(ISBLANK(NFFT_All[[#This Row],[M6+]]),"",ABS(NFFT_All[[#This Row],[M6+]]-('statistics-M6'!$J58/365)))</f>
        <v>0.66086301369863021</v>
      </c>
      <c r="X51">
        <f>IF(ISBLANK(NFFT_All[[#This Row],[M7+]]),"",ABS(NFFT_All[[#This Row],[M7+]]-('statistics-M7'!$J58/365)))</f>
        <v>1.7510273972602739</v>
      </c>
      <c r="Y51" t="e">
        <f>IF(ISBLANK(NFFT_All[[#This Row],[M8+]]),"",ABS(NFFT_All[[#This Row],[M8+]]-('statistics-M8'!$J58/365)))</f>
        <v>#VALUE!</v>
      </c>
    </row>
    <row r="52" spans="1:25" x14ac:dyDescent="0.35">
      <c r="A52" t="s">
        <v>29</v>
      </c>
      <c r="B52">
        <v>2</v>
      </c>
      <c r="C52">
        <v>1.8540000000000001</v>
      </c>
      <c r="D52">
        <v>3.8839999999999999</v>
      </c>
      <c r="G52" t="s">
        <v>58</v>
      </c>
      <c r="I52">
        <f>IF(ISBLANK(NFFT_All[[#This Row],[M4+]]),"",ABS(NFFT_All[[#This Row],[M4+]]-('statistics-M4'!I59/365)))</f>
        <v>0.4576764514024787</v>
      </c>
      <c r="J52">
        <f>IF(ISBLANK(NFFT_All[[#This Row],[M5+]]),"",ABS(NFFT_All[[#This Row],[M5+]]-('statistics-M5'!$I59/365)))</f>
        <v>0.75205125939018957</v>
      </c>
      <c r="K52" t="str">
        <f>IF(ISBLANK(NFFT_All[[#This Row],[M6+]]),"",ABS(NFFT_All[[#This Row],[M6+]]-('statistics-M6'!$I59/365)))</f>
        <v/>
      </c>
      <c r="L52" t="str">
        <f>IF(ISBLANK(NFFT_All[[#This Row],[M7+]]),"",ABS(NFFT_All[[#This Row],[M7+]]-('statistics-M7'!$I59/365)))</f>
        <v/>
      </c>
      <c r="M52" t="e">
        <f>IF(ISBLANK(NFFT_All[[#This Row],[M8+]]),"",ABS(NFFT_All[[#This Row],[M8+]]-('statistics-M8'!$I59/365)))</f>
        <v>#VALUE!</v>
      </c>
      <c r="O52">
        <f>IF(ISBLANK(NFFT_All[[#This Row],[M4+]]),"",ABS(NFFT_All[[#This Row],[M4+]]-('statistics-M4'!$F59/365)))</f>
        <v>1.3170136986301371</v>
      </c>
      <c r="P52">
        <f>IF(ISBLANK(NFFT_All[[#This Row],[M5+]]),"",ABS(NFFT_All[[#This Row],[M5+]]-('statistics-M5'!$F59/365)))</f>
        <v>3.3470136986301369</v>
      </c>
      <c r="Q52" t="str">
        <f>IF(ISBLANK(NFFT_All[[#This Row],[M6+]]),"",ABS(NFFT_All[[#This Row],[M6+]]-('statistics-M6'!$F59/365)))</f>
        <v/>
      </c>
      <c r="R52" t="str">
        <f>IF(ISBLANK(NFFT_All[[#This Row],[M7+]]),"",ABS(NFFT_All[[#This Row],[M7+]]-('statistics-M7'!$F59/365)))</f>
        <v/>
      </c>
      <c r="S52" t="e">
        <f>IF(ISBLANK(NFFT_All[[#This Row],[M8+]]),"",ABS(NFFT_All[[#This Row],[M8+]]-('statistics-M8'!$F59/365)))</f>
        <v>#VALUE!</v>
      </c>
      <c r="U52">
        <f>IF(ISBLANK(NFFT_All[[#This Row],[M4+]]),"",ABS(NFFT_All[[#This Row],[M4+]]-('statistics-M4'!$J59/365)))</f>
        <v>0.65536986301369882</v>
      </c>
      <c r="V52">
        <f>IF(ISBLANK(NFFT_All[[#This Row],[M5+]]),"",ABS(NFFT_All[[#This Row],[M5+]]-('statistics-M5'!$J59/365)))</f>
        <v>2.2346849315068491</v>
      </c>
      <c r="W52" t="str">
        <f>IF(ISBLANK(NFFT_All[[#This Row],[M6+]]),"",ABS(NFFT_All[[#This Row],[M6+]]-('statistics-M6'!$J59/365)))</f>
        <v/>
      </c>
      <c r="X52" t="str">
        <f>IF(ISBLANK(NFFT_All[[#This Row],[M7+]]),"",ABS(NFFT_All[[#This Row],[M7+]]-('statistics-M7'!$J59/365)))</f>
        <v/>
      </c>
      <c r="Y52" t="e">
        <f>IF(ISBLANK(NFFT_All[[#This Row],[M8+]]),"",ABS(NFFT_All[[#This Row],[M8+]]-('statistics-M8'!$J59/365)))</f>
        <v>#VALUE!</v>
      </c>
    </row>
    <row r="53" spans="1:25" x14ac:dyDescent="0.35">
      <c r="A53" t="s">
        <v>29</v>
      </c>
      <c r="B53">
        <v>3</v>
      </c>
      <c r="D53">
        <v>1.069</v>
      </c>
      <c r="G53" t="s">
        <v>58</v>
      </c>
      <c r="I53" t="str">
        <f>IF(ISBLANK(NFFT_All[[#This Row],[M4+]]),"",ABS(NFFT_All[[#This Row],[M4+]]-('statistics-M4'!I60/365)))</f>
        <v/>
      </c>
      <c r="J53">
        <f>IF(ISBLANK(NFFT_All[[#This Row],[M5+]]),"",ABS(NFFT_All[[#This Row],[M5+]]-('statistics-M5'!$I60/365)))</f>
        <v>0.83218721461187206</v>
      </c>
      <c r="K53" t="str">
        <f>IF(ISBLANK(NFFT_All[[#This Row],[M6+]]),"",ABS(NFFT_All[[#This Row],[M6+]]-('statistics-M6'!$I60/365)))</f>
        <v/>
      </c>
      <c r="L53" t="str">
        <f>IF(ISBLANK(NFFT_All[[#This Row],[M7+]]),"",ABS(NFFT_All[[#This Row],[M7+]]-('statistics-M7'!$I60/365)))</f>
        <v/>
      </c>
      <c r="M53" t="e">
        <f>IF(ISBLANK(NFFT_All[[#This Row],[M8+]]),"",ABS(NFFT_All[[#This Row],[M8+]]-('statistics-M8'!$I60/365)))</f>
        <v>#VALUE!</v>
      </c>
      <c r="O53" t="str">
        <f>IF(ISBLANK(NFFT_All[[#This Row],[M4+]]),"",ABS(NFFT_All[[#This Row],[M4+]]-('statistics-M4'!$F60/365)))</f>
        <v/>
      </c>
      <c r="P53">
        <f>IF(ISBLANK(NFFT_All[[#This Row],[M5+]]),"",ABS(NFFT_All[[#This Row],[M5+]]-('statistics-M5'!$F60/365)))</f>
        <v>0.50187671232876707</v>
      </c>
      <c r="Q53" t="str">
        <f>IF(ISBLANK(NFFT_All[[#This Row],[M6+]]),"",ABS(NFFT_All[[#This Row],[M6+]]-('statistics-M6'!$F60/365)))</f>
        <v/>
      </c>
      <c r="R53" t="str">
        <f>IF(ISBLANK(NFFT_All[[#This Row],[M7+]]),"",ABS(NFFT_All[[#This Row],[M7+]]-('statistics-M7'!$F60/365)))</f>
        <v/>
      </c>
      <c r="S53" t="e">
        <f>IF(ISBLANK(NFFT_All[[#This Row],[M8+]]),"",ABS(NFFT_All[[#This Row],[M8+]]-('statistics-M8'!$F60/365)))</f>
        <v>#VALUE!</v>
      </c>
      <c r="U53" t="str">
        <f>IF(ISBLANK(NFFT_All[[#This Row],[M4+]]),"",ABS(NFFT_All[[#This Row],[M4+]]-('statistics-M4'!$J60/365)))</f>
        <v/>
      </c>
      <c r="V53">
        <f>IF(ISBLANK(NFFT_All[[#This Row],[M5+]]),"",ABS(NFFT_All[[#This Row],[M5+]]-('statistics-M5'!$J60/365)))</f>
        <v>0.19812328767123288</v>
      </c>
      <c r="W53" t="str">
        <f>IF(ISBLANK(NFFT_All[[#This Row],[M6+]]),"",ABS(NFFT_All[[#This Row],[M6+]]-('statistics-M6'!$J60/365)))</f>
        <v/>
      </c>
      <c r="X53" t="str">
        <f>IF(ISBLANK(NFFT_All[[#This Row],[M7+]]),"",ABS(NFFT_All[[#This Row],[M7+]]-('statistics-M7'!$J60/365)))</f>
        <v/>
      </c>
      <c r="Y53" t="e">
        <f>IF(ISBLANK(NFFT_All[[#This Row],[M8+]]),"",ABS(NFFT_All[[#This Row],[M8+]]-('statistics-M8'!$J60/365)))</f>
        <v>#VALUE!</v>
      </c>
    </row>
    <row r="54" spans="1:25" x14ac:dyDescent="0.35">
      <c r="A54" t="s">
        <v>30</v>
      </c>
      <c r="B54">
        <v>1</v>
      </c>
      <c r="C54">
        <v>2.819</v>
      </c>
      <c r="D54">
        <v>2.819</v>
      </c>
      <c r="E54">
        <v>2.746</v>
      </c>
      <c r="G54" t="s">
        <v>57</v>
      </c>
      <c r="I54">
        <f>IF(ISBLANK(NFFT_All[[#This Row],[M4+]]),"",ABS(NFFT_All[[#This Row],[M4+]]-('statistics-M4'!I61/365)))</f>
        <v>1.5733849738737467</v>
      </c>
      <c r="J54">
        <f>IF(ISBLANK(NFFT_All[[#This Row],[M5+]]),"",ABS(NFFT_All[[#This Row],[M5+]]-('statistics-M5'!$I61/365)))</f>
        <v>1.5733849738737467</v>
      </c>
      <c r="K54">
        <f>IF(ISBLANK(NFFT_All[[#This Row],[M6+]]),"",ABS(NFFT_All[[#This Row],[M6+]]-('statistics-M6'!$I61/365)))</f>
        <v>0.86855993150684929</v>
      </c>
      <c r="L54" t="str">
        <f>IF(ISBLANK(NFFT_All[[#This Row],[M7+]]),"",ABS(NFFT_All[[#This Row],[M7+]]-('statistics-M7'!$I61/365)))</f>
        <v/>
      </c>
      <c r="M54" t="e">
        <f>IF(ISBLANK(NFFT_All[[#This Row],[M8+]]),"",ABS(NFFT_All[[#This Row],[M8+]]-('statistics-M8'!$I61/365)))</f>
        <v>#VALUE!</v>
      </c>
      <c r="O54">
        <f>IF(ISBLANK(NFFT_All[[#This Row],[M4+]]),"",ABS(NFFT_All[[#This Row],[M4+]]-('statistics-M4'!$F61/365)))</f>
        <v>2.312150684931507</v>
      </c>
      <c r="P54">
        <f>IF(ISBLANK(NFFT_All[[#This Row],[M5+]]),"",ABS(NFFT_All[[#This Row],[M5+]]-('statistics-M5'!$F61/365)))</f>
        <v>2.312150684931507</v>
      </c>
      <c r="Q54">
        <f>IF(ISBLANK(NFFT_All[[#This Row],[M6+]]),"",ABS(NFFT_All[[#This Row],[M6+]]-('statistics-M6'!$F61/365)))</f>
        <v>0.9761369863013698</v>
      </c>
      <c r="R54" t="str">
        <f>IF(ISBLANK(NFFT_All[[#This Row],[M7+]]),"",ABS(NFFT_All[[#This Row],[M7+]]-('statistics-M7'!$F61/365)))</f>
        <v/>
      </c>
      <c r="S54" t="e">
        <f>IF(ISBLANK(NFFT_All[[#This Row],[M8+]]),"",ABS(NFFT_All[[#This Row],[M8+]]-('statistics-M8'!$F61/365)))</f>
        <v>#VALUE!</v>
      </c>
      <c r="U54">
        <f>IF(ISBLANK(NFFT_All[[#This Row],[M4+]]),"",ABS(NFFT_All[[#This Row],[M4+]]-('statistics-M4'!$J61/365)))</f>
        <v>2.0135205479452054</v>
      </c>
      <c r="V54">
        <f>IF(ISBLANK(NFFT_All[[#This Row],[M5+]]),"",ABS(NFFT_All[[#This Row],[M5+]]-('statistics-M5'!$J61/365)))</f>
        <v>2.0135205479452054</v>
      </c>
      <c r="W54">
        <f>IF(ISBLANK(NFFT_All[[#This Row],[M6+]]),"",ABS(NFFT_All[[#This Row],[M6+]]-('statistics-M6'!$J61/365)))</f>
        <v>1.4528493150684931</v>
      </c>
      <c r="X54" t="str">
        <f>IF(ISBLANK(NFFT_All[[#This Row],[M7+]]),"",ABS(NFFT_All[[#This Row],[M7+]]-('statistics-M7'!$J61/365)))</f>
        <v/>
      </c>
      <c r="Y54" t="e">
        <f>IF(ISBLANK(NFFT_All[[#This Row],[M8+]]),"",ABS(NFFT_All[[#This Row],[M8+]]-('statistics-M8'!$J61/365)))</f>
        <v>#VALUE!</v>
      </c>
    </row>
    <row r="55" spans="1:25" x14ac:dyDescent="0.35">
      <c r="A55" t="s">
        <v>31</v>
      </c>
      <c r="B55">
        <v>1</v>
      </c>
      <c r="C55">
        <v>2.4670000000000001</v>
      </c>
      <c r="D55">
        <v>2.2029999999999998</v>
      </c>
      <c r="E55">
        <v>1.698</v>
      </c>
      <c r="G55" t="s">
        <v>58</v>
      </c>
      <c r="I55">
        <f>IF(ISBLANK(NFFT_All[[#This Row],[M4+]]),"",ABS(NFFT_All[[#This Row],[M4+]]-('statistics-M4'!I64/365)))</f>
        <v>1.16931822971549</v>
      </c>
      <c r="J55">
        <f>IF(ISBLANK(NFFT_All[[#This Row],[M5+]]),"",ABS(NFFT_All[[#This Row],[M5+]]-('statistics-M5'!$I64/365)))</f>
        <v>0.83517326915957035</v>
      </c>
      <c r="K55">
        <f>IF(ISBLANK(NFFT_All[[#This Row],[M6+]]),"",ABS(NFFT_All[[#This Row],[M6+]]-('statistics-M6'!$I64/365)))</f>
        <v>0.63490856960815556</v>
      </c>
      <c r="L55" t="str">
        <f>IF(ISBLANK(NFFT_All[[#This Row],[M7+]]),"",ABS(NFFT_All[[#This Row],[M7+]]-('statistics-M7'!$I64/365)))</f>
        <v/>
      </c>
      <c r="M55" t="e">
        <f>IF(ISBLANK(NFFT_All[[#This Row],[M8+]]),"",ABS(NFFT_All[[#This Row],[M8+]]-('statistics-M8'!$I64/365)))</f>
        <v>#VALUE!</v>
      </c>
      <c r="O55">
        <f>IF(ISBLANK(NFFT_All[[#This Row],[M4+]]),"",ABS(NFFT_All[[#This Row],[M4+]]-('statistics-M4'!$F64/365)))</f>
        <v>1.4889178082191781</v>
      </c>
      <c r="P55">
        <f>IF(ISBLANK(NFFT_All[[#This Row],[M5+]]),"",ABS(NFFT_All[[#This Row],[M5+]]-('statistics-M5'!$F64/365)))</f>
        <v>1.4660136986301369</v>
      </c>
      <c r="Q55">
        <f>IF(ISBLANK(NFFT_All[[#This Row],[M6+]]),"",ABS(NFFT_All[[#This Row],[M6+]]-('statistics-M6'!$F64/365)))</f>
        <v>0.73087671232876705</v>
      </c>
      <c r="R55" t="str">
        <f>IF(ISBLANK(NFFT_All[[#This Row],[M7+]]),"",ABS(NFFT_All[[#This Row],[M7+]]-('statistics-M7'!$F64/365)))</f>
        <v/>
      </c>
      <c r="S55" t="e">
        <f>IF(ISBLANK(NFFT_All[[#This Row],[M8+]]),"",ABS(NFFT_All[[#This Row],[M8+]]-('statistics-M8'!$F64/365)))</f>
        <v>#VALUE!</v>
      </c>
      <c r="U55">
        <f>IF(ISBLANK(NFFT_All[[#This Row],[M4+]]),"",ABS(NFFT_All[[#This Row],[M4+]]-('statistics-M4'!$J64/365)))</f>
        <v>1.4902876712328768</v>
      </c>
      <c r="V55">
        <f>IF(ISBLANK(NFFT_All[[#This Row],[M5+]]),"",ABS(NFFT_All[[#This Row],[M5+]]-('statistics-M5'!$J64/365)))</f>
        <v>1.2166986301369862</v>
      </c>
      <c r="W55">
        <f>IF(ISBLANK(NFFT_All[[#This Row],[M6+]]),"",ABS(NFFT_All[[#This Row],[M6+]]-('statistics-M6'!$J64/365)))</f>
        <v>0.13087671232876708</v>
      </c>
      <c r="X55" t="str">
        <f>IF(ISBLANK(NFFT_All[[#This Row],[M7+]]),"",ABS(NFFT_All[[#This Row],[M7+]]-('statistics-M7'!$J64/365)))</f>
        <v/>
      </c>
      <c r="Y55" t="e">
        <f>IF(ISBLANK(NFFT_All[[#This Row],[M8+]]),"",ABS(NFFT_All[[#This Row],[M8+]]-('statistics-M8'!$J64/365)))</f>
        <v>#VALUE!</v>
      </c>
    </row>
    <row r="56" spans="1:25" x14ac:dyDescent="0.35">
      <c r="A56" t="s">
        <v>31</v>
      </c>
      <c r="B56">
        <v>2</v>
      </c>
      <c r="C56">
        <v>1.766</v>
      </c>
      <c r="D56">
        <v>2.0640000000000001</v>
      </c>
      <c r="G56" t="s">
        <v>58</v>
      </c>
      <c r="I56">
        <f>IF(ISBLANK(NFFT_All[[#This Row],[M4+]]),"",ABS(NFFT_All[[#This Row],[M4+]]-('statistics-M4'!I65/365)))</f>
        <v>7.6616438356164496E-2</v>
      </c>
      <c r="J56">
        <f>IF(ISBLANK(NFFT_All[[#This Row],[M5+]]),"",ABS(NFFT_All[[#This Row],[M5+]]-('statistics-M5'!$I65/365)))</f>
        <v>5.1117458466919174E-2</v>
      </c>
      <c r="K56" t="str">
        <f>IF(ISBLANK(NFFT_All[[#This Row],[M6+]]),"",ABS(NFFT_All[[#This Row],[M6+]]-('statistics-M6'!$I65/365)))</f>
        <v/>
      </c>
      <c r="L56" t="str">
        <f>IF(ISBLANK(NFFT_All[[#This Row],[M7+]]),"",ABS(NFFT_All[[#This Row],[M7+]]-('statistics-M7'!$I65/365)))</f>
        <v/>
      </c>
      <c r="M56" t="e">
        <f>IF(ISBLANK(NFFT_All[[#This Row],[M8+]]),"",ABS(NFFT_All[[#This Row],[M8+]]-('statistics-M8'!$I65/365)))</f>
        <v>#VALUE!</v>
      </c>
      <c r="O56">
        <f>IF(ISBLANK(NFFT_All[[#This Row],[M4+]]),"",ABS(NFFT_All[[#This Row],[M4+]]-('statistics-M4'!$F65/365)))</f>
        <v>1.2673698630136987</v>
      </c>
      <c r="P56">
        <f>IF(ISBLANK(NFFT_All[[#This Row],[M5+]]),"",ABS(NFFT_All[[#This Row],[M5+]]-('statistics-M5'!$F65/365)))</f>
        <v>1.0366027397260273</v>
      </c>
      <c r="Q56" t="str">
        <f>IF(ISBLANK(NFFT_All[[#This Row],[M6+]]),"",ABS(NFFT_All[[#This Row],[M6+]]-('statistics-M6'!$F65/365)))</f>
        <v/>
      </c>
      <c r="R56" t="str">
        <f>IF(ISBLANK(NFFT_All[[#This Row],[M7+]]),"",ABS(NFFT_All[[#This Row],[M7+]]-('statistics-M7'!$F65/365)))</f>
        <v/>
      </c>
      <c r="S56" t="e">
        <f>IF(ISBLANK(NFFT_All[[#This Row],[M8+]]),"",ABS(NFFT_All[[#This Row],[M8+]]-('statistics-M8'!$F65/365)))</f>
        <v>#VALUE!</v>
      </c>
      <c r="U56">
        <f>IF(ISBLANK(NFFT_All[[#This Row],[M4+]]),"",ABS(NFFT_All[[#This Row],[M4+]]-('statistics-M4'!$J65/365)))</f>
        <v>0.74682191780821916</v>
      </c>
      <c r="V56">
        <f>IF(ISBLANK(NFFT_All[[#This Row],[M5+]]),"",ABS(NFFT_All[[#This Row],[M5+]]-('statistics-M5'!$J65/365)))</f>
        <v>0.95715068493150701</v>
      </c>
      <c r="W56" t="str">
        <f>IF(ISBLANK(NFFT_All[[#This Row],[M6+]]),"",ABS(NFFT_All[[#This Row],[M6+]]-('statistics-M6'!$J65/365)))</f>
        <v/>
      </c>
      <c r="X56" t="str">
        <f>IF(ISBLANK(NFFT_All[[#This Row],[M7+]]),"",ABS(NFFT_All[[#This Row],[M7+]]-('statistics-M7'!$J65/365)))</f>
        <v/>
      </c>
      <c r="Y56" t="e">
        <f>IF(ISBLANK(NFFT_All[[#This Row],[M8+]]),"",ABS(NFFT_All[[#This Row],[M8+]]-('statistics-M8'!$J65/365)))</f>
        <v>#VALUE!</v>
      </c>
    </row>
    <row r="57" spans="1:25" x14ac:dyDescent="0.35">
      <c r="A57" t="s">
        <v>31</v>
      </c>
      <c r="B57">
        <v>3</v>
      </c>
      <c r="C57">
        <v>2.1459999999999999</v>
      </c>
      <c r="D57">
        <v>1.9079999999999999</v>
      </c>
      <c r="E57">
        <v>4.4260000000000002</v>
      </c>
      <c r="G57" t="s">
        <v>57</v>
      </c>
      <c r="I57">
        <f>IF(ISBLANK(NFFT_All[[#This Row],[M4+]]),"",ABS(NFFT_All[[#This Row],[M4+]]-('statistics-M4'!I66/365)))</f>
        <v>0.47347198007471958</v>
      </c>
      <c r="J57">
        <f>IF(ISBLANK(NFFT_All[[#This Row],[M5+]]),"",ABS(NFFT_All[[#This Row],[M5+]]-('statistics-M5'!$I66/365)))</f>
        <v>0.25520939334637971</v>
      </c>
      <c r="K57">
        <f>IF(ISBLANK(NFFT_All[[#This Row],[M6+]]),"",ABS(NFFT_All[[#This Row],[M6+]]-('statistics-M6'!$I66/365)))</f>
        <v>2.7397260273787083E-5</v>
      </c>
      <c r="L57" t="str">
        <f>IF(ISBLANK(NFFT_All[[#This Row],[M7+]]),"",ABS(NFFT_All[[#This Row],[M7+]]-('statistics-M7'!$I66/365)))</f>
        <v/>
      </c>
      <c r="M57" t="e">
        <f>IF(ISBLANK(NFFT_All[[#This Row],[M8+]]),"",ABS(NFFT_All[[#This Row],[M8+]]-('statistics-M8'!$I66/365)))</f>
        <v>#VALUE!</v>
      </c>
      <c r="O57">
        <f>IF(ISBLANK(NFFT_All[[#This Row],[M4+]]),"",ABS(NFFT_All[[#This Row],[M4+]]-('statistics-M4'!$F66/365)))</f>
        <v>1.6062739726027395</v>
      </c>
      <c r="P57">
        <f>IF(ISBLANK(NFFT_All[[#This Row],[M5+]]),"",ABS(NFFT_All[[#This Row],[M5+]]-('statistics-M5'!$F66/365)))</f>
        <v>1.1682739726027398</v>
      </c>
      <c r="Q57">
        <f>IF(ISBLANK(NFFT_All[[#This Row],[M6+]]),"",ABS(NFFT_All[[#This Row],[M6+]]-('statistics-M6'!$F66/365)))</f>
        <v>3.68627397260274</v>
      </c>
      <c r="R57" t="str">
        <f>IF(ISBLANK(NFFT_All[[#This Row],[M7+]]),"",ABS(NFFT_All[[#This Row],[M7+]]-('statistics-M7'!$F66/365)))</f>
        <v/>
      </c>
      <c r="S57" t="e">
        <f>IF(ISBLANK(NFFT_All[[#This Row],[M8+]]),"",ABS(NFFT_All[[#This Row],[M8+]]-('statistics-M8'!$F66/365)))</f>
        <v>#VALUE!</v>
      </c>
      <c r="U57">
        <f>IF(ISBLANK(NFFT_All[[#This Row],[M4+]]),"",ABS(NFFT_All[[#This Row],[M4+]]-('statistics-M4'!$J66/365)))</f>
        <v>1.1843561643835616</v>
      </c>
      <c r="V57">
        <f>IF(ISBLANK(NFFT_All[[#This Row],[M5+]]),"",ABS(NFFT_All[[#This Row],[M5+]]-('statistics-M5'!$J66/365)))</f>
        <v>0.70663013698630128</v>
      </c>
      <c r="W57">
        <f>IF(ISBLANK(NFFT_All[[#This Row],[M6+]]),"",ABS(NFFT_All[[#This Row],[M6+]]-('statistics-M6'!$J66/365)))</f>
        <v>0.37668493150684945</v>
      </c>
      <c r="X57" t="str">
        <f>IF(ISBLANK(NFFT_All[[#This Row],[M7+]]),"",ABS(NFFT_All[[#This Row],[M7+]]-('statistics-M7'!$J66/365)))</f>
        <v/>
      </c>
      <c r="Y57" t="e">
        <f>IF(ISBLANK(NFFT_All[[#This Row],[M8+]]),"",ABS(NFFT_All[[#This Row],[M8+]]-('statistics-M8'!$J66/365)))</f>
        <v>#VALUE!</v>
      </c>
    </row>
    <row r="58" spans="1:25" x14ac:dyDescent="0.35">
      <c r="A58" t="s">
        <v>32</v>
      </c>
      <c r="B58">
        <v>1</v>
      </c>
      <c r="C58">
        <v>1.68</v>
      </c>
      <c r="D58">
        <v>1.68</v>
      </c>
      <c r="E58">
        <v>1.587</v>
      </c>
      <c r="F58">
        <v>4.798</v>
      </c>
      <c r="G58" t="s">
        <v>57</v>
      </c>
      <c r="I58">
        <f>IF(ISBLANK(NFFT_All[[#This Row],[M4+]]),"",ABS(NFFT_All[[#This Row],[M4+]]-('statistics-M4'!I67/365)))</f>
        <v>0.72394882825767004</v>
      </c>
      <c r="J58">
        <f>IF(ISBLANK(NFFT_All[[#This Row],[M5+]]),"",ABS(NFFT_All[[#This Row],[M5+]]-('statistics-M5'!$I67/365)))</f>
        <v>0.72394882825767004</v>
      </c>
      <c r="K58">
        <f>IF(ISBLANK(NFFT_All[[#This Row],[M6+]]),"",ABS(NFFT_All[[#This Row],[M6+]]-('statistics-M6'!$I67/365)))</f>
        <v>0.59826331811263311</v>
      </c>
      <c r="L58">
        <f>IF(ISBLANK(NFFT_All[[#This Row],[M7+]]),"",ABS(NFFT_All[[#This Row],[M7+]]-('statistics-M7'!$I67/365)))</f>
        <v>1.477532634971797</v>
      </c>
      <c r="M58" t="e">
        <f>IF(ISBLANK(NFFT_All[[#This Row],[M8+]]),"",ABS(NFFT_All[[#This Row],[M8+]]-('statistics-M8'!$I67/365)))</f>
        <v>#VALUE!</v>
      </c>
      <c r="O58">
        <f>IF(ISBLANK(NFFT_All[[#This Row],[M4+]]),"",ABS(NFFT_All[[#This Row],[M4+]]-('statistics-M4'!$F67/365)))</f>
        <v>1.1676712328767123</v>
      </c>
      <c r="P58">
        <f>IF(ISBLANK(NFFT_All[[#This Row],[M5+]]),"",ABS(NFFT_All[[#This Row],[M5+]]-('statistics-M5'!$F67/365)))</f>
        <v>1.1676712328767123</v>
      </c>
      <c r="Q58">
        <f>IF(ISBLANK(NFFT_All[[#This Row],[M6+]]),"",ABS(NFFT_All[[#This Row],[M6+]]-('statistics-M6'!$F67/365)))</f>
        <v>1.0746712328767123</v>
      </c>
      <c r="R58">
        <f>IF(ISBLANK(NFFT_All[[#This Row],[M7+]]),"",ABS(NFFT_All[[#This Row],[M7+]]-('statistics-M7'!$F67/365)))</f>
        <v>4.2527945205479449</v>
      </c>
      <c r="S58" t="e">
        <f>IF(ISBLANK(NFFT_All[[#This Row],[M8+]]),"",ABS(NFFT_All[[#This Row],[M8+]]-('statistics-M8'!$F67/365)))</f>
        <v>#VALUE!</v>
      </c>
      <c r="U58">
        <f>IF(ISBLANK(NFFT_All[[#This Row],[M4+]]),"",ABS(NFFT_All[[#This Row],[M4+]]-('statistics-M4'!$J67/365)))</f>
        <v>0.78958904109589034</v>
      </c>
      <c r="V58">
        <f>IF(ISBLANK(NFFT_All[[#This Row],[M5+]]),"",ABS(NFFT_All[[#This Row],[M5+]]-('statistics-M5'!$J67/365)))</f>
        <v>0.78958904109589034</v>
      </c>
      <c r="W58">
        <f>IF(ISBLANK(NFFT_All[[#This Row],[M6+]]),"",ABS(NFFT_All[[#This Row],[M6+]]-('statistics-M6'!$J67/365)))</f>
        <v>0.70206849315068487</v>
      </c>
      <c r="X58">
        <f>IF(ISBLANK(NFFT_All[[#This Row],[M7+]]),"",ABS(NFFT_All[[#This Row],[M7+]]-('statistics-M7'!$J67/365)))</f>
        <v>2.2212876712328766</v>
      </c>
      <c r="Y58" t="e">
        <f>IF(ISBLANK(NFFT_All[[#This Row],[M8+]]),"",ABS(NFFT_All[[#This Row],[M8+]]-('statistics-M8'!$J67/365)))</f>
        <v>#VALUE!</v>
      </c>
    </row>
    <row r="59" spans="1:25" x14ac:dyDescent="0.35">
      <c r="A59" t="s">
        <v>32</v>
      </c>
      <c r="B59">
        <v>2</v>
      </c>
      <c r="C59">
        <v>2.0129999999999999</v>
      </c>
      <c r="D59">
        <v>2.6920000000000002</v>
      </c>
      <c r="E59">
        <v>5.1150000000000002</v>
      </c>
      <c r="G59" t="s">
        <v>58</v>
      </c>
      <c r="I59">
        <f>IF(ISBLANK(NFFT_All[[#This Row],[M4+]]),"",ABS(NFFT_All[[#This Row],[M4+]]-('statistics-M4'!I68/365)))</f>
        <v>0.7462473811442385</v>
      </c>
      <c r="J59">
        <f>IF(ISBLANK(NFFT_All[[#This Row],[M5+]]),"",ABS(NFFT_All[[#This Row],[M5+]]-('statistics-M5'!$I68/365)))</f>
        <v>1.3460753424657537</v>
      </c>
      <c r="K59">
        <f>IF(ISBLANK(NFFT_All[[#This Row],[M6+]]),"",ABS(NFFT_All[[#This Row],[M6+]]-('statistics-M6'!$I68/365)))</f>
        <v>2.2048926323583862</v>
      </c>
      <c r="L59" t="str">
        <f>IF(ISBLANK(NFFT_All[[#This Row],[M7+]]),"",ABS(NFFT_All[[#This Row],[M7+]]-('statistics-M7'!$I68/365)))</f>
        <v/>
      </c>
      <c r="M59" t="e">
        <f>IF(ISBLANK(NFFT_All[[#This Row],[M8+]]),"",ABS(NFFT_All[[#This Row],[M8+]]-('statistics-M8'!$I68/365)))</f>
        <v>#VALUE!</v>
      </c>
      <c r="O59">
        <f>IF(ISBLANK(NFFT_All[[#This Row],[M4+]]),"",ABS(NFFT_All[[#This Row],[M4+]]-('statistics-M4'!$F68/365)))</f>
        <v>1.4184794520547945</v>
      </c>
      <c r="P59">
        <f>IF(ISBLANK(NFFT_All[[#This Row],[M5+]]),"",ABS(NFFT_All[[#This Row],[M5+]]-('statistics-M5'!$F68/365)))</f>
        <v>1.8673424657534248</v>
      </c>
      <c r="Q59">
        <f>IF(ISBLANK(NFFT_All[[#This Row],[M6+]]),"",ABS(NFFT_All[[#This Row],[M6+]]-('statistics-M6'!$F68/365)))</f>
        <v>3.4958219178082195</v>
      </c>
      <c r="R59" t="str">
        <f>IF(ISBLANK(NFFT_All[[#This Row],[M7+]]),"",ABS(NFFT_All[[#This Row],[M7+]]-('statistics-M7'!$F68/365)))</f>
        <v/>
      </c>
      <c r="S59" t="e">
        <f>IF(ISBLANK(NFFT_All[[#This Row],[M8+]]),"",ABS(NFFT_All[[#This Row],[M8+]]-('statistics-M8'!$F68/365)))</f>
        <v>#VALUE!</v>
      </c>
      <c r="U59">
        <f>IF(ISBLANK(NFFT_All[[#This Row],[M4+]]),"",ABS(NFFT_All[[#This Row],[M4+]]-('statistics-M4'!$J68/365)))</f>
        <v>1.1691643835616436</v>
      </c>
      <c r="V59">
        <f>IF(ISBLANK(NFFT_All[[#This Row],[M5+]]),"",ABS(NFFT_All[[#This Row],[M5+]]-('statistics-M5'!$J68/365)))</f>
        <v>1.7947397260273974</v>
      </c>
      <c r="W59">
        <f>IF(ISBLANK(NFFT_All[[#This Row],[M6+]]),"",ABS(NFFT_All[[#This Row],[M6+]]-('statistics-M6'!$J68/365)))</f>
        <v>2.4930821917808221</v>
      </c>
      <c r="X59" t="str">
        <f>IF(ISBLANK(NFFT_All[[#This Row],[M7+]]),"",ABS(NFFT_All[[#This Row],[M7+]]-('statistics-M7'!$J68/365)))</f>
        <v/>
      </c>
      <c r="Y59" t="e">
        <f>IF(ISBLANK(NFFT_All[[#This Row],[M8+]]),"",ABS(NFFT_All[[#This Row],[M8+]]-('statistics-M8'!$J68/365)))</f>
        <v>#VALUE!</v>
      </c>
    </row>
    <row r="60" spans="1:25" x14ac:dyDescent="0.35">
      <c r="A60" t="s">
        <v>34</v>
      </c>
      <c r="B60">
        <v>1</v>
      </c>
      <c r="C60">
        <v>2.4950000000000001</v>
      </c>
      <c r="G60" t="s">
        <v>57</v>
      </c>
      <c r="I60">
        <f>IF(ISBLANK(NFFT_All[[#This Row],[M4+]]),"",ABS(NFFT_All[[#This Row],[M4+]]-('statistics-M4'!I70/365)))</f>
        <v>0.11218036529680386</v>
      </c>
      <c r="J60" t="str">
        <f>IF(ISBLANK(NFFT_All[[#This Row],[M5+]]),"",ABS(NFFT_All[[#This Row],[M5+]]-('statistics-M5'!$I70/365)))</f>
        <v/>
      </c>
      <c r="K60" t="str">
        <f>IF(ISBLANK(NFFT_All[[#This Row],[M6+]]),"",ABS(NFFT_All[[#This Row],[M6+]]-('statistics-M6'!$I70/365)))</f>
        <v/>
      </c>
      <c r="L60" t="str">
        <f>IF(ISBLANK(NFFT_All[[#This Row],[M7+]]),"",ABS(NFFT_All[[#This Row],[M7+]]-('statistics-M7'!$I70/365)))</f>
        <v/>
      </c>
      <c r="M60" t="e">
        <f>IF(ISBLANK(NFFT_All[[#This Row],[M8+]]),"",ABS(NFFT_All[[#This Row],[M8+]]-('statistics-M8'!$I70/365)))</f>
        <v>#VALUE!</v>
      </c>
      <c r="O60">
        <f>IF(ISBLANK(NFFT_All[[#This Row],[M4+]]),"",ABS(NFFT_All[[#This Row],[M4+]]-('statistics-M4'!$F70/365)))</f>
        <v>1.9032191780821919</v>
      </c>
      <c r="P60" t="str">
        <f>IF(ISBLANK(NFFT_All[[#This Row],[M5+]]),"",ABS(NFFT_All[[#This Row],[M5+]]-('statistics-M5'!$F70/365)))</f>
        <v/>
      </c>
      <c r="Q60" t="str">
        <f>IF(ISBLANK(NFFT_All[[#This Row],[M6+]]),"",ABS(NFFT_All[[#This Row],[M6+]]-('statistics-M6'!$F70/365)))</f>
        <v/>
      </c>
      <c r="R60" t="str">
        <f>IF(ISBLANK(NFFT_All[[#This Row],[M7+]]),"",ABS(NFFT_All[[#This Row],[M7+]]-('statistics-M7'!$F70/365)))</f>
        <v/>
      </c>
      <c r="S60" t="e">
        <f>IF(ISBLANK(NFFT_All[[#This Row],[M8+]]),"",ABS(NFFT_All[[#This Row],[M8+]]-('statistics-M8'!$F70/365)))</f>
        <v>#VALUE!</v>
      </c>
      <c r="U60">
        <f>IF(ISBLANK(NFFT_All[[#This Row],[M4+]]),"",ABS(NFFT_All[[#This Row],[M4+]]-('statistics-M4'!$J70/365)))</f>
        <v>1.4730821917808221</v>
      </c>
      <c r="V60" t="str">
        <f>IF(ISBLANK(NFFT_All[[#This Row],[M5+]]),"",ABS(NFFT_All[[#This Row],[M5+]]-('statistics-M5'!$J70/365)))</f>
        <v/>
      </c>
      <c r="W60" t="str">
        <f>IF(ISBLANK(NFFT_All[[#This Row],[M6+]]),"",ABS(NFFT_All[[#This Row],[M6+]]-('statistics-M6'!$J70/365)))</f>
        <v/>
      </c>
      <c r="X60" t="str">
        <f>IF(ISBLANK(NFFT_All[[#This Row],[M7+]]),"",ABS(NFFT_All[[#This Row],[M7+]]-('statistics-M7'!$J70/365)))</f>
        <v/>
      </c>
      <c r="Y60" t="e">
        <f>IF(ISBLANK(NFFT_All[[#This Row],[M8+]]),"",ABS(NFFT_All[[#This Row],[M8+]]-('statistics-M8'!$J70/365)))</f>
        <v>#VALUE!</v>
      </c>
    </row>
    <row r="61" spans="1:25" x14ac:dyDescent="0.35">
      <c r="A61" t="s">
        <v>34</v>
      </c>
      <c r="B61">
        <v>2</v>
      </c>
      <c r="C61">
        <v>2.6619999999999999</v>
      </c>
      <c r="G61" t="s">
        <v>57</v>
      </c>
      <c r="I61">
        <f>IF(ISBLANK(NFFT_All[[#This Row],[M4+]]),"",ABS(NFFT_All[[#This Row],[M4+]]-('statistics-M4'!I71/365)))</f>
        <v>1.4332328767123288</v>
      </c>
      <c r="J61" t="str">
        <f>IF(ISBLANK(NFFT_All[[#This Row],[M5+]]),"",ABS(NFFT_All[[#This Row],[M5+]]-('statistics-M5'!$I71/365)))</f>
        <v/>
      </c>
      <c r="K61" t="str">
        <f>IF(ISBLANK(NFFT_All[[#This Row],[M6+]]),"",ABS(NFFT_All[[#This Row],[M6+]]-('statistics-M6'!$I71/365)))</f>
        <v/>
      </c>
      <c r="L61" t="str">
        <f>IF(ISBLANK(NFFT_All[[#This Row],[M7+]]),"",ABS(NFFT_All[[#This Row],[M7+]]-('statistics-M7'!$I71/365)))</f>
        <v/>
      </c>
      <c r="M61" t="e">
        <f>IF(ISBLANK(NFFT_All[[#This Row],[M8+]]),"",ABS(NFFT_All[[#This Row],[M8+]]-('statistics-M8'!$I71/365)))</f>
        <v>#VALUE!</v>
      </c>
      <c r="O61">
        <f>IF(ISBLANK(NFFT_All[[#This Row],[M4+]]),"",ABS(NFFT_All[[#This Row],[M4+]]-('statistics-M4'!$F71/365)))</f>
        <v>2.1524109589041096</v>
      </c>
      <c r="P61" t="str">
        <f>IF(ISBLANK(NFFT_All[[#This Row],[M5+]]),"",ABS(NFFT_All[[#This Row],[M5+]]-('statistics-M5'!$F71/365)))</f>
        <v/>
      </c>
      <c r="Q61" t="str">
        <f>IF(ISBLANK(NFFT_All[[#This Row],[M6+]]),"",ABS(NFFT_All[[#This Row],[M6+]]-('statistics-M6'!$F71/365)))</f>
        <v/>
      </c>
      <c r="R61" t="str">
        <f>IF(ISBLANK(NFFT_All[[#This Row],[M7+]]),"",ABS(NFFT_All[[#This Row],[M7+]]-('statistics-M7'!$F71/365)))</f>
        <v/>
      </c>
      <c r="S61" t="e">
        <f>IF(ISBLANK(NFFT_All[[#This Row],[M8+]]),"",ABS(NFFT_All[[#This Row],[M8+]]-('statistics-M8'!$F71/365)))</f>
        <v>#VALUE!</v>
      </c>
      <c r="U61">
        <f>IF(ISBLANK(NFFT_All[[#This Row],[M4+]]),"",ABS(NFFT_All[[#This Row],[M4+]]-('statistics-M4'!$J71/365)))</f>
        <v>1.1551506849315067</v>
      </c>
      <c r="V61" t="str">
        <f>IF(ISBLANK(NFFT_All[[#This Row],[M5+]]),"",ABS(NFFT_All[[#This Row],[M5+]]-('statistics-M5'!$J71/365)))</f>
        <v/>
      </c>
      <c r="W61" t="str">
        <f>IF(ISBLANK(NFFT_All[[#This Row],[M6+]]),"",ABS(NFFT_All[[#This Row],[M6+]]-('statistics-M6'!$J71/365)))</f>
        <v/>
      </c>
      <c r="X61" t="str">
        <f>IF(ISBLANK(NFFT_All[[#This Row],[M7+]]),"",ABS(NFFT_All[[#This Row],[M7+]]-('statistics-M7'!$J71/365)))</f>
        <v/>
      </c>
      <c r="Y61" t="e">
        <f>IF(ISBLANK(NFFT_All[[#This Row],[M8+]]),"",ABS(NFFT_All[[#This Row],[M8+]]-('statistics-M8'!$J71/365)))</f>
        <v>#VALUE!</v>
      </c>
    </row>
    <row r="62" spans="1:25" x14ac:dyDescent="0.35">
      <c r="A62" t="s">
        <v>34</v>
      </c>
      <c r="B62">
        <v>3</v>
      </c>
      <c r="C62">
        <v>2.8130000000000002</v>
      </c>
      <c r="G62" t="s">
        <v>58</v>
      </c>
      <c r="I62">
        <f>IF(ISBLANK(NFFT_All[[#This Row],[M4+]]),"",ABS(NFFT_All[[#This Row],[M4+]]-('statistics-M4'!I72/365)))</f>
        <v>2.0577110241356817</v>
      </c>
      <c r="J62" t="str">
        <f>IF(ISBLANK(NFFT_All[[#This Row],[M5+]]),"",ABS(NFFT_All[[#This Row],[M5+]]-('statistics-M5'!$I72/365)))</f>
        <v/>
      </c>
      <c r="K62" t="str">
        <f>IF(ISBLANK(NFFT_All[[#This Row],[M6+]]),"",ABS(NFFT_All[[#This Row],[M6+]]-('statistics-M6'!$I72/365)))</f>
        <v/>
      </c>
      <c r="L62" t="str">
        <f>IF(ISBLANK(NFFT_All[[#This Row],[M7+]]),"",ABS(NFFT_All[[#This Row],[M7+]]-('statistics-M7'!$I72/365)))</f>
        <v/>
      </c>
      <c r="M62" t="e">
        <f>IF(ISBLANK(NFFT_All[[#This Row],[M8+]]),"",ABS(NFFT_All[[#This Row],[M8+]]-('statistics-M8'!$I72/365)))</f>
        <v>#VALUE!</v>
      </c>
      <c r="O62">
        <f>IF(ISBLANK(NFFT_All[[#This Row],[M4+]]),"",ABS(NFFT_All[[#This Row],[M4+]]-('statistics-M4'!$F72/365)))</f>
        <v>2.1910821917808221</v>
      </c>
      <c r="P62" t="str">
        <f>IF(ISBLANK(NFFT_All[[#This Row],[M5+]]),"",ABS(NFFT_All[[#This Row],[M5+]]-('statistics-M5'!$F72/365)))</f>
        <v/>
      </c>
      <c r="Q62" t="str">
        <f>IF(ISBLANK(NFFT_All[[#This Row],[M6+]]),"",ABS(NFFT_All[[#This Row],[M6+]]-('statistics-M6'!$F72/365)))</f>
        <v/>
      </c>
      <c r="R62" t="str">
        <f>IF(ISBLANK(NFFT_All[[#This Row],[M7+]]),"",ABS(NFFT_All[[#This Row],[M7+]]-('statistics-M7'!$F72/365)))</f>
        <v/>
      </c>
      <c r="S62" t="e">
        <f>IF(ISBLANK(NFFT_All[[#This Row],[M8+]]),"",ABS(NFFT_All[[#This Row],[M8+]]-('statistics-M8'!$F72/365)))</f>
        <v>#VALUE!</v>
      </c>
      <c r="U62">
        <f>IF(ISBLANK(NFFT_All[[#This Row],[M4+]]),"",ABS(NFFT_All[[#This Row],[M4+]]-('statistics-M4'!$J72/365)))</f>
        <v>0.40752054794520554</v>
      </c>
      <c r="V62" t="str">
        <f>IF(ISBLANK(NFFT_All[[#This Row],[M5+]]),"",ABS(NFFT_All[[#This Row],[M5+]]-('statistics-M5'!$J72/365)))</f>
        <v/>
      </c>
      <c r="W62" t="str">
        <f>IF(ISBLANK(NFFT_All[[#This Row],[M6+]]),"",ABS(NFFT_All[[#This Row],[M6+]]-('statistics-M6'!$J72/365)))</f>
        <v/>
      </c>
      <c r="X62" t="str">
        <f>IF(ISBLANK(NFFT_All[[#This Row],[M7+]]),"",ABS(NFFT_All[[#This Row],[M7+]]-('statistics-M7'!$J72/365)))</f>
        <v/>
      </c>
      <c r="Y62" t="e">
        <f>IF(ISBLANK(NFFT_All[[#This Row],[M8+]]),"",ABS(NFFT_All[[#This Row],[M8+]]-('statistics-M8'!$J72/365)))</f>
        <v>#VALUE!</v>
      </c>
    </row>
    <row r="63" spans="1:25" x14ac:dyDescent="0.35">
      <c r="A63" t="s">
        <v>35</v>
      </c>
      <c r="B63">
        <v>1</v>
      </c>
      <c r="D63">
        <v>1.246</v>
      </c>
      <c r="G63" t="s">
        <v>57</v>
      </c>
      <c r="I63" t="str">
        <f>IF(ISBLANK(NFFT_All[[#This Row],[M4+]]),"",ABS(NFFT_All[[#This Row],[M4+]]-('statistics-M4'!I73/365)))</f>
        <v/>
      </c>
      <c r="J63">
        <f>IF(ISBLANK(NFFT_All[[#This Row],[M5+]]),"",ABS(NFFT_All[[#This Row],[M5+]]-('statistics-M5'!$I73/365)))</f>
        <v>0.30691997116077863</v>
      </c>
      <c r="K63" t="str">
        <f>IF(ISBLANK(NFFT_All[[#This Row],[M6+]]),"",ABS(NFFT_All[[#This Row],[M6+]]-('statistics-M6'!$I73/365)))</f>
        <v/>
      </c>
      <c r="L63" t="str">
        <f>IF(ISBLANK(NFFT_All[[#This Row],[M7+]]),"",ABS(NFFT_All[[#This Row],[M7+]]-('statistics-M7'!$I73/365)))</f>
        <v/>
      </c>
      <c r="M63" t="e">
        <f>IF(ISBLANK(NFFT_All[[#This Row],[M8+]]),"",ABS(NFFT_All[[#This Row],[M8+]]-('statistics-M8'!$I73/365)))</f>
        <v>#VALUE!</v>
      </c>
      <c r="O63" t="str">
        <f>IF(ISBLANK(NFFT_All[[#This Row],[M4+]]),"",ABS(NFFT_All[[#This Row],[M4+]]-('statistics-M4'!$F73/365)))</f>
        <v/>
      </c>
      <c r="P63">
        <f>IF(ISBLANK(NFFT_All[[#This Row],[M5+]]),"",ABS(NFFT_All[[#This Row],[M5+]]-('statistics-M5'!$F73/365)))</f>
        <v>0.74736986301369868</v>
      </c>
      <c r="Q63" t="str">
        <f>IF(ISBLANK(NFFT_All[[#This Row],[M6+]]),"",ABS(NFFT_All[[#This Row],[M6+]]-('statistics-M6'!$F73/365)))</f>
        <v/>
      </c>
      <c r="R63" t="str">
        <f>IF(ISBLANK(NFFT_All[[#This Row],[M7+]]),"",ABS(NFFT_All[[#This Row],[M7+]]-('statistics-M7'!$F73/365)))</f>
        <v/>
      </c>
      <c r="S63" t="e">
        <f>IF(ISBLANK(NFFT_All[[#This Row],[M8+]]),"",ABS(NFFT_All[[#This Row],[M8+]]-('statistics-M8'!$F73/365)))</f>
        <v>#VALUE!</v>
      </c>
      <c r="U63" t="str">
        <f>IF(ISBLANK(NFFT_All[[#This Row],[M4+]]),"",ABS(NFFT_All[[#This Row],[M4+]]-('statistics-M4'!$J73/365)))</f>
        <v/>
      </c>
      <c r="V63">
        <f>IF(ISBLANK(NFFT_All[[#This Row],[M5+]]),"",ABS(NFFT_All[[#This Row],[M5+]]-('statistics-M5'!$J73/365)))</f>
        <v>0.15832876712328758</v>
      </c>
      <c r="W63" t="str">
        <f>IF(ISBLANK(NFFT_All[[#This Row],[M6+]]),"",ABS(NFFT_All[[#This Row],[M6+]]-('statistics-M6'!$J73/365)))</f>
        <v/>
      </c>
      <c r="X63" t="str">
        <f>IF(ISBLANK(NFFT_All[[#This Row],[M7+]]),"",ABS(NFFT_All[[#This Row],[M7+]]-('statistics-M7'!$J73/365)))</f>
        <v/>
      </c>
      <c r="Y63" t="e">
        <f>IF(ISBLANK(NFFT_All[[#This Row],[M8+]]),"",ABS(NFFT_All[[#This Row],[M8+]]-('statistics-M8'!$J73/365)))</f>
        <v>#VALUE!</v>
      </c>
    </row>
    <row r="64" spans="1:25" x14ac:dyDescent="0.35">
      <c r="A64" t="s">
        <v>35</v>
      </c>
      <c r="B64">
        <v>2</v>
      </c>
      <c r="C64">
        <v>3.2090000000000001</v>
      </c>
      <c r="D64">
        <v>3.294</v>
      </c>
      <c r="G64" t="s">
        <v>57</v>
      </c>
      <c r="I64">
        <f>IF(ISBLANK(NFFT_All[[#This Row],[M4+]]),"",ABS(NFFT_All[[#This Row],[M4+]]-('statistics-M4'!I74/365)))</f>
        <v>0.54202090843547257</v>
      </c>
      <c r="J64">
        <f>IF(ISBLANK(NFFT_All[[#This Row],[M5+]]),"",ABS(NFFT_All[[#This Row],[M5+]]-('statistics-M5'!$I74/365)))</f>
        <v>0.75980821917808283</v>
      </c>
      <c r="K64" t="str">
        <f>IF(ISBLANK(NFFT_All[[#This Row],[M6+]]),"",ABS(NFFT_All[[#This Row],[M6+]]-('statistics-M6'!$I74/365)))</f>
        <v/>
      </c>
      <c r="L64" t="str">
        <f>IF(ISBLANK(NFFT_All[[#This Row],[M7+]]),"",ABS(NFFT_All[[#This Row],[M7+]]-('statistics-M7'!$I74/365)))</f>
        <v/>
      </c>
      <c r="M64" t="e">
        <f>IF(ISBLANK(NFFT_All[[#This Row],[M8+]]),"",ABS(NFFT_All[[#This Row],[M8+]]-('statistics-M8'!$I74/365)))</f>
        <v>#VALUE!</v>
      </c>
      <c r="O64">
        <f>IF(ISBLANK(NFFT_All[[#This Row],[M4+]]),"",ABS(NFFT_All[[#This Row],[M4+]]-('statistics-M4'!$F74/365)))</f>
        <v>2.6911917808219181</v>
      </c>
      <c r="P64">
        <f>IF(ISBLANK(NFFT_All[[#This Row],[M5+]]),"",ABS(NFFT_All[[#This Row],[M5+]]-('statistics-M5'!$F74/365)))</f>
        <v>2.7624931506849313</v>
      </c>
      <c r="Q64" t="str">
        <f>IF(ISBLANK(NFFT_All[[#This Row],[M6+]]),"",ABS(NFFT_All[[#This Row],[M6+]]-('statistics-M6'!$F74/365)))</f>
        <v/>
      </c>
      <c r="R64" t="str">
        <f>IF(ISBLANK(NFFT_All[[#This Row],[M7+]]),"",ABS(NFFT_All[[#This Row],[M7+]]-('statistics-M7'!$F74/365)))</f>
        <v/>
      </c>
      <c r="S64" t="e">
        <f>IF(ISBLANK(NFFT_All[[#This Row],[M8+]]),"",ABS(NFFT_All[[#This Row],[M8+]]-('statistics-M8'!$F74/365)))</f>
        <v>#VALUE!</v>
      </c>
      <c r="U64">
        <f>IF(ISBLANK(NFFT_All[[#This Row],[M4+]]),"",ABS(NFFT_All[[#This Row],[M4+]]-('statistics-M4'!$J74/365)))</f>
        <v>2.1185890410958903</v>
      </c>
      <c r="V64">
        <f>IF(ISBLANK(NFFT_All[[#This Row],[M5+]]),"",ABS(NFFT_All[[#This Row],[M5+]]-('statistics-M5'!$J74/365)))</f>
        <v>1.9707123287671233</v>
      </c>
      <c r="W64" t="str">
        <f>IF(ISBLANK(NFFT_All[[#This Row],[M6+]]),"",ABS(NFFT_All[[#This Row],[M6+]]-('statistics-M6'!$J74/365)))</f>
        <v/>
      </c>
      <c r="X64" t="str">
        <f>IF(ISBLANK(NFFT_All[[#This Row],[M7+]]),"",ABS(NFFT_All[[#This Row],[M7+]]-('statistics-M7'!$J74/365)))</f>
        <v/>
      </c>
      <c r="Y64" t="e">
        <f>IF(ISBLANK(NFFT_All[[#This Row],[M8+]]),"",ABS(NFFT_All[[#This Row],[M8+]]-('statistics-M8'!$J74/365)))</f>
        <v>#VALUE!</v>
      </c>
    </row>
    <row r="65" spans="1:25" x14ac:dyDescent="0.35">
      <c r="A65" t="s">
        <v>36</v>
      </c>
      <c r="B65">
        <v>1</v>
      </c>
      <c r="C65">
        <v>0.69699999999999995</v>
      </c>
      <c r="D65">
        <v>1.3320000000000001</v>
      </c>
      <c r="G65" t="s">
        <v>57</v>
      </c>
      <c r="I65">
        <f>IF(ISBLANK(NFFT_All[[#This Row],[M4+]]),"",ABS(NFFT_All[[#This Row],[M4+]]-('statistics-M4'!I76/365)))</f>
        <v>0.28213593256059011</v>
      </c>
      <c r="J65">
        <f>IF(ISBLANK(NFFT_All[[#This Row],[M5+]]),"",ABS(NFFT_All[[#This Row],[M5+]]-('statistics-M5'!$I76/365)))</f>
        <v>1.7909452054794521</v>
      </c>
      <c r="K65" t="str">
        <f>IF(ISBLANK(NFFT_All[[#This Row],[M6+]]),"",ABS(NFFT_All[[#This Row],[M6+]]-('statistics-M6'!$I76/365)))</f>
        <v/>
      </c>
      <c r="L65" t="str">
        <f>IF(ISBLANK(NFFT_All[[#This Row],[M7+]]),"",ABS(NFFT_All[[#This Row],[M7+]]-('statistics-M7'!$I76/365)))</f>
        <v/>
      </c>
      <c r="M65" t="e">
        <f>IF(ISBLANK(NFFT_All[[#This Row],[M8+]]),"",ABS(NFFT_All[[#This Row],[M8+]]-('statistics-M8'!$I76/365)))</f>
        <v>#VALUE!</v>
      </c>
      <c r="O65">
        <f>IF(ISBLANK(NFFT_All[[#This Row],[M4+]]),"",ABS(NFFT_All[[#This Row],[M4+]]-('statistics-M4'!$F76/365)))</f>
        <v>6.9602739726027374E-2</v>
      </c>
      <c r="P65">
        <f>IF(ISBLANK(NFFT_All[[#This Row],[M5+]]),"",ABS(NFFT_All[[#This Row],[M5+]]-('statistics-M5'!$F76/365)))</f>
        <v>0.65254794520547954</v>
      </c>
      <c r="Q65" t="str">
        <f>IF(ISBLANK(NFFT_All[[#This Row],[M6+]]),"",ABS(NFFT_All[[#This Row],[M6+]]-('statistics-M6'!$F76/365)))</f>
        <v/>
      </c>
      <c r="R65" t="str">
        <f>IF(ISBLANK(NFFT_All[[#This Row],[M7+]]),"",ABS(NFFT_All[[#This Row],[M7+]]-('statistics-M7'!$F76/365)))</f>
        <v/>
      </c>
      <c r="S65" t="e">
        <f>IF(ISBLANK(NFFT_All[[#This Row],[M8+]]),"",ABS(NFFT_All[[#This Row],[M8+]]-('statistics-M8'!$F76/365)))</f>
        <v>#VALUE!</v>
      </c>
      <c r="U65">
        <f>IF(ISBLANK(NFFT_All[[#This Row],[M4+]]),"",ABS(NFFT_All[[#This Row],[M4+]]-('statistics-M4'!$J76/365)))</f>
        <v>0.1851917808219179</v>
      </c>
      <c r="V65">
        <f>IF(ISBLANK(NFFT_All[[#This Row],[M5+]]),"",ABS(NFFT_All[[#This Row],[M5+]]-('statistics-M5'!$J76/365)))</f>
        <v>0.90772602739726005</v>
      </c>
      <c r="W65" t="str">
        <f>IF(ISBLANK(NFFT_All[[#This Row],[M6+]]),"",ABS(NFFT_All[[#This Row],[M6+]]-('statistics-M6'!$J76/365)))</f>
        <v/>
      </c>
      <c r="X65" t="str">
        <f>IF(ISBLANK(NFFT_All[[#This Row],[M7+]]),"",ABS(NFFT_All[[#This Row],[M7+]]-('statistics-M7'!$J76/365)))</f>
        <v/>
      </c>
      <c r="Y65" t="e">
        <f>IF(ISBLANK(NFFT_All[[#This Row],[M8+]]),"",ABS(NFFT_All[[#This Row],[M8+]]-('statistics-M8'!$J76/365)))</f>
        <v>#VALUE!</v>
      </c>
    </row>
    <row r="66" spans="1:25" x14ac:dyDescent="0.35">
      <c r="A66" t="s">
        <v>36</v>
      </c>
      <c r="B66">
        <v>2</v>
      </c>
      <c r="C66">
        <v>1.048</v>
      </c>
      <c r="D66">
        <v>1.032</v>
      </c>
      <c r="G66" t="s">
        <v>57</v>
      </c>
      <c r="I66">
        <f>IF(ISBLANK(NFFT_All[[#This Row],[M4+]]),"",ABS(NFFT_All[[#This Row],[M4+]]-('statistics-M4'!I77/365)))</f>
        <v>4.0413066385669216E-2</v>
      </c>
      <c r="J66">
        <f>IF(ISBLANK(NFFT_All[[#This Row],[M5+]]),"",ABS(NFFT_All[[#This Row],[M5+]]-('statistics-M5'!$I77/365)))</f>
        <v>0.29058517737969791</v>
      </c>
      <c r="K66" t="str">
        <f>IF(ISBLANK(NFFT_All[[#This Row],[M6+]]),"",ABS(NFFT_All[[#This Row],[M6+]]-('statistics-M6'!$I77/365)))</f>
        <v/>
      </c>
      <c r="L66" t="str">
        <f>IF(ISBLANK(NFFT_All[[#This Row],[M7+]]),"",ABS(NFFT_All[[#This Row],[M7+]]-('statistics-M7'!$I77/365)))</f>
        <v/>
      </c>
      <c r="M66" t="e">
        <f>IF(ISBLANK(NFFT_All[[#This Row],[M8+]]),"",ABS(NFFT_All[[#This Row],[M8+]]-('statistics-M8'!$I77/365)))</f>
        <v>#VALUE!</v>
      </c>
      <c r="O66">
        <f>IF(ISBLANK(NFFT_All[[#This Row],[M4+]]),"",ABS(NFFT_All[[#This Row],[M4+]]-('statistics-M4'!$F77/365)))</f>
        <v>0.45347945205479456</v>
      </c>
      <c r="P66">
        <f>IF(ISBLANK(NFFT_All[[#This Row],[M5+]]),"",ABS(NFFT_All[[#This Row],[M5+]]-('statistics-M5'!$F77/365)))</f>
        <v>0.34432876712328775</v>
      </c>
      <c r="Q66" t="str">
        <f>IF(ISBLANK(NFFT_All[[#This Row],[M6+]]),"",ABS(NFFT_All[[#This Row],[M6+]]-('statistics-M6'!$F77/365)))</f>
        <v/>
      </c>
      <c r="R66" t="str">
        <f>IF(ISBLANK(NFFT_All[[#This Row],[M7+]]),"",ABS(NFFT_All[[#This Row],[M7+]]-('statistics-M7'!$F77/365)))</f>
        <v/>
      </c>
      <c r="S66" t="e">
        <f>IF(ISBLANK(NFFT_All[[#This Row],[M8+]]),"",ABS(NFFT_All[[#This Row],[M8+]]-('statistics-M8'!$F77/365)))</f>
        <v>#VALUE!</v>
      </c>
      <c r="U66">
        <f>IF(ISBLANK(NFFT_All[[#This Row],[M4+]]),"",ABS(NFFT_All[[#This Row],[M4+]]-('statistics-M4'!$J77/365)))</f>
        <v>0.23019178082191782</v>
      </c>
      <c r="V66">
        <f>IF(ISBLANK(NFFT_All[[#This Row],[M5+]]),"",ABS(NFFT_All[[#This Row],[M5+]]-('statistics-M5'!$J77/365)))</f>
        <v>3.2000000000000028E-2</v>
      </c>
      <c r="W66" t="str">
        <f>IF(ISBLANK(NFFT_All[[#This Row],[M6+]]),"",ABS(NFFT_All[[#This Row],[M6+]]-('statistics-M6'!$J77/365)))</f>
        <v/>
      </c>
      <c r="X66" t="str">
        <f>IF(ISBLANK(NFFT_All[[#This Row],[M7+]]),"",ABS(NFFT_All[[#This Row],[M7+]]-('statistics-M7'!$J77/365)))</f>
        <v/>
      </c>
      <c r="Y66" t="e">
        <f>IF(ISBLANK(NFFT_All[[#This Row],[M8+]]),"",ABS(NFFT_All[[#This Row],[M8+]]-('statistics-M8'!$J77/365)))</f>
        <v>#VALUE!</v>
      </c>
    </row>
    <row r="67" spans="1:25" x14ac:dyDescent="0.35">
      <c r="A67" t="s">
        <v>36</v>
      </c>
      <c r="B67">
        <v>3</v>
      </c>
      <c r="G67" t="s">
        <v>57</v>
      </c>
      <c r="I67" t="str">
        <f>IF(ISBLANK(NFFT_All[[#This Row],[M4+]]),"",ABS(NFFT_All[[#This Row],[M4+]]-('statistics-M4'!I78/365)))</f>
        <v/>
      </c>
      <c r="J67" t="str">
        <f>IF(ISBLANK(NFFT_All[[#This Row],[M5+]]),"",ABS(NFFT_All[[#This Row],[M5+]]-('statistics-M5'!$I78/365)))</f>
        <v/>
      </c>
      <c r="K67" t="str">
        <f>IF(ISBLANK(NFFT_All[[#This Row],[M6+]]),"",ABS(NFFT_All[[#This Row],[M6+]]-('statistics-M6'!$I78/365)))</f>
        <v/>
      </c>
      <c r="L67" t="str">
        <f>IF(ISBLANK(NFFT_All[[#This Row],[M7+]]),"",ABS(NFFT_All[[#This Row],[M7+]]-('statistics-M7'!$I78/365)))</f>
        <v/>
      </c>
      <c r="M67" t="e">
        <f>IF(ISBLANK(NFFT_All[[#This Row],[M8+]]),"",ABS(NFFT_All[[#This Row],[M8+]]-('statistics-M8'!$I78/365)))</f>
        <v>#VALUE!</v>
      </c>
      <c r="O67" t="str">
        <f>IF(ISBLANK(NFFT_All[[#This Row],[M4+]]),"",ABS(NFFT_All[[#This Row],[M4+]]-('statistics-M4'!$F78/365)))</f>
        <v/>
      </c>
      <c r="P67" t="str">
        <f>IF(ISBLANK(NFFT_All[[#This Row],[M5+]]),"",ABS(NFFT_All[[#This Row],[M5+]]-('statistics-M5'!$F78/365)))</f>
        <v/>
      </c>
      <c r="Q67" t="str">
        <f>IF(ISBLANK(NFFT_All[[#This Row],[M6+]]),"",ABS(NFFT_All[[#This Row],[M6+]]-('statistics-M6'!$F78/365)))</f>
        <v/>
      </c>
      <c r="R67" t="str">
        <f>IF(ISBLANK(NFFT_All[[#This Row],[M7+]]),"",ABS(NFFT_All[[#This Row],[M7+]]-('statistics-M7'!$F78/365)))</f>
        <v/>
      </c>
      <c r="S67" t="e">
        <f>IF(ISBLANK(NFFT_All[[#This Row],[M8+]]),"",ABS(NFFT_All[[#This Row],[M8+]]-('statistics-M8'!$F78/365)))</f>
        <v>#VALUE!</v>
      </c>
      <c r="U67" t="str">
        <f>IF(ISBLANK(NFFT_All[[#This Row],[M4+]]),"",ABS(NFFT_All[[#This Row],[M4+]]-('statistics-M4'!$J78/365)))</f>
        <v/>
      </c>
      <c r="V67" t="str">
        <f>IF(ISBLANK(NFFT_All[[#This Row],[M5+]]),"",ABS(NFFT_All[[#This Row],[M5+]]-('statistics-M5'!$J78/365)))</f>
        <v/>
      </c>
      <c r="W67" t="str">
        <f>IF(ISBLANK(NFFT_All[[#This Row],[M6+]]),"",ABS(NFFT_All[[#This Row],[M6+]]-('statistics-M6'!$J78/365)))</f>
        <v/>
      </c>
      <c r="X67" t="str">
        <f>IF(ISBLANK(NFFT_All[[#This Row],[M7+]]),"",ABS(NFFT_All[[#This Row],[M7+]]-('statistics-M7'!$J78/365)))</f>
        <v/>
      </c>
      <c r="Y67" t="e">
        <f>IF(ISBLANK(NFFT_All[[#This Row],[M8+]]),"",ABS(NFFT_All[[#This Row],[M8+]]-('statistics-M8'!$J78/365)))</f>
        <v>#VALUE!</v>
      </c>
    </row>
    <row r="68" spans="1:25" x14ac:dyDescent="0.35">
      <c r="A68" t="s">
        <v>37</v>
      </c>
      <c r="B68">
        <v>1</v>
      </c>
      <c r="C68">
        <v>2.0049999999999999</v>
      </c>
      <c r="D68">
        <v>1.9259999999999999</v>
      </c>
      <c r="G68" t="s">
        <v>57</v>
      </c>
      <c r="I68">
        <f>IF(ISBLANK(NFFT_All[[#This Row],[M4+]]),"",ABS(NFFT_All[[#This Row],[M4+]]-('statistics-M4'!I79/365)))</f>
        <v>0.18596611391492424</v>
      </c>
      <c r="J68">
        <f>IF(ISBLANK(NFFT_All[[#This Row],[M5+]]),"",ABS(NFFT_All[[#This Row],[M5+]]-('statistics-M5'!$I79/365)))</f>
        <v>6.7940990516333066E-2</v>
      </c>
      <c r="K68" t="str">
        <f>IF(ISBLANK(NFFT_All[[#This Row],[M6+]]),"",ABS(NFFT_All[[#This Row],[M6+]]-('statistics-M6'!$I79/365)))</f>
        <v/>
      </c>
      <c r="L68" t="str">
        <f>IF(ISBLANK(NFFT_All[[#This Row],[M7+]]),"",ABS(NFFT_All[[#This Row],[M7+]]-('statistics-M7'!$I79/365)))</f>
        <v/>
      </c>
      <c r="M68" t="e">
        <f>IF(ISBLANK(NFFT_All[[#This Row],[M8+]]),"",ABS(NFFT_All[[#This Row],[M8+]]-('statistics-M8'!$I79/365)))</f>
        <v>#VALUE!</v>
      </c>
      <c r="O68">
        <f>IF(ISBLANK(NFFT_All[[#This Row],[M4+]]),"",ABS(NFFT_All[[#This Row],[M4+]]-('statistics-M4'!$F79/365)))</f>
        <v>1.4954109589041096</v>
      </c>
      <c r="P68">
        <f>IF(ISBLANK(NFFT_All[[#This Row],[M5+]]),"",ABS(NFFT_All[[#This Row],[M5+]]-('statistics-M5'!$F79/365)))</f>
        <v>1.4164109589041094</v>
      </c>
      <c r="Q68" t="str">
        <f>IF(ISBLANK(NFFT_All[[#This Row],[M6+]]),"",ABS(NFFT_All[[#This Row],[M6+]]-('statistics-M6'!$F79/365)))</f>
        <v/>
      </c>
      <c r="R68" t="str">
        <f>IF(ISBLANK(NFFT_All[[#This Row],[M7+]]),"",ABS(NFFT_All[[#This Row],[M7+]]-('statistics-M7'!$F79/365)))</f>
        <v/>
      </c>
      <c r="S68" t="e">
        <f>IF(ISBLANK(NFFT_All[[#This Row],[M8+]]),"",ABS(NFFT_All[[#This Row],[M8+]]-('statistics-M8'!$F79/365)))</f>
        <v>#VALUE!</v>
      </c>
      <c r="U68">
        <f>IF(ISBLANK(NFFT_All[[#This Row],[M4+]]),"",ABS(NFFT_All[[#This Row],[M4+]]-('statistics-M4'!$J79/365)))</f>
        <v>1.0323972602739726</v>
      </c>
      <c r="V68">
        <f>IF(ISBLANK(NFFT_All[[#This Row],[M5+]]),"",ABS(NFFT_All[[#This Row],[M5+]]-('statistics-M5'!$J79/365)))</f>
        <v>0.97394520547945196</v>
      </c>
      <c r="W68" t="str">
        <f>IF(ISBLANK(NFFT_All[[#This Row],[M6+]]),"",ABS(NFFT_All[[#This Row],[M6+]]-('statistics-M6'!$J79/365)))</f>
        <v/>
      </c>
      <c r="X68" t="str">
        <f>IF(ISBLANK(NFFT_All[[#This Row],[M7+]]),"",ABS(NFFT_All[[#This Row],[M7+]]-('statistics-M7'!$J79/365)))</f>
        <v/>
      </c>
      <c r="Y68" t="e">
        <f>IF(ISBLANK(NFFT_All[[#This Row],[M8+]]),"",ABS(NFFT_All[[#This Row],[M8+]]-('statistics-M8'!$J79/365)))</f>
        <v>#VALUE!</v>
      </c>
    </row>
    <row r="69" spans="1:25" x14ac:dyDescent="0.35">
      <c r="A69" t="s">
        <v>37</v>
      </c>
      <c r="B69">
        <v>2</v>
      </c>
      <c r="G69" t="s">
        <v>58</v>
      </c>
      <c r="I69" t="str">
        <f>IF(ISBLANK(NFFT_All[[#This Row],[M4+]]),"",ABS(NFFT_All[[#This Row],[M4+]]-('statistics-M4'!I80/365)))</f>
        <v/>
      </c>
      <c r="J69" t="str">
        <f>IF(ISBLANK(NFFT_All[[#This Row],[M5+]]),"",ABS(NFFT_All[[#This Row],[M5+]]-('statistics-M5'!$I80/365)))</f>
        <v/>
      </c>
      <c r="K69" t="str">
        <f>IF(ISBLANK(NFFT_All[[#This Row],[M6+]]),"",ABS(NFFT_All[[#This Row],[M6+]]-('statistics-M6'!$I80/365)))</f>
        <v/>
      </c>
      <c r="L69" t="str">
        <f>IF(ISBLANK(NFFT_All[[#This Row],[M7+]]),"",ABS(NFFT_All[[#This Row],[M7+]]-('statistics-M7'!$I80/365)))</f>
        <v/>
      </c>
      <c r="M69" t="e">
        <f>IF(ISBLANK(NFFT_All[[#This Row],[M8+]]),"",ABS(NFFT_All[[#This Row],[M8+]]-('statistics-M8'!$I80/365)))</f>
        <v>#VALUE!</v>
      </c>
      <c r="O69" t="str">
        <f>IF(ISBLANK(NFFT_All[[#This Row],[M4+]]),"",ABS(NFFT_All[[#This Row],[M4+]]-('statistics-M4'!$F80/365)))</f>
        <v/>
      </c>
      <c r="P69" t="str">
        <f>IF(ISBLANK(NFFT_All[[#This Row],[M5+]]),"",ABS(NFFT_All[[#This Row],[M5+]]-('statistics-M5'!$F80/365)))</f>
        <v/>
      </c>
      <c r="Q69" t="str">
        <f>IF(ISBLANK(NFFT_All[[#This Row],[M6+]]),"",ABS(NFFT_All[[#This Row],[M6+]]-('statistics-M6'!$F80/365)))</f>
        <v/>
      </c>
      <c r="R69" t="str">
        <f>IF(ISBLANK(NFFT_All[[#This Row],[M7+]]),"",ABS(NFFT_All[[#This Row],[M7+]]-('statistics-M7'!$F80/365)))</f>
        <v/>
      </c>
      <c r="S69" t="e">
        <f>IF(ISBLANK(NFFT_All[[#This Row],[M8+]]),"",ABS(NFFT_All[[#This Row],[M8+]]-('statistics-M8'!$F80/365)))</f>
        <v>#VALUE!</v>
      </c>
      <c r="U69" t="str">
        <f>IF(ISBLANK(NFFT_All[[#This Row],[M4+]]),"",ABS(NFFT_All[[#This Row],[M4+]]-('statistics-M4'!$J80/365)))</f>
        <v/>
      </c>
      <c r="V69" t="str">
        <f>IF(ISBLANK(NFFT_All[[#This Row],[M5+]]),"",ABS(NFFT_All[[#This Row],[M5+]]-('statistics-M5'!$J80/365)))</f>
        <v/>
      </c>
      <c r="W69" t="str">
        <f>IF(ISBLANK(NFFT_All[[#This Row],[M6+]]),"",ABS(NFFT_All[[#This Row],[M6+]]-('statistics-M6'!$J80/365)))</f>
        <v/>
      </c>
      <c r="X69" t="str">
        <f>IF(ISBLANK(NFFT_All[[#This Row],[M7+]]),"",ABS(NFFT_All[[#This Row],[M7+]]-('statistics-M7'!$J80/365)))</f>
        <v/>
      </c>
      <c r="Y69" t="e">
        <f>IF(ISBLANK(NFFT_All[[#This Row],[M8+]]),"",ABS(NFFT_All[[#This Row],[M8+]]-('statistics-M8'!$J80/365)))</f>
        <v>#VALUE!</v>
      </c>
    </row>
    <row r="70" spans="1:25" x14ac:dyDescent="0.35">
      <c r="H70" t="s">
        <v>33</v>
      </c>
      <c r="I70" s="2">
        <f>ROUND(AVERAGE(I2:I69),3)</f>
        <v>0.8</v>
      </c>
      <c r="J70" s="2">
        <f>ROUND(AVERAGE(J2:J69),3)</f>
        <v>1.0649999999999999</v>
      </c>
      <c r="K70" s="2">
        <f>ROUND(AVERAGE(K2:K69),3)</f>
        <v>1.1240000000000001</v>
      </c>
      <c r="L70" s="2">
        <f>ROUND(AVERAGE(L2:L69),3)</f>
        <v>1.7549999999999999</v>
      </c>
      <c r="M70" s="2" t="e">
        <f>ROUND(AVERAGE(M2:M69),3)</f>
        <v>#VALUE!</v>
      </c>
      <c r="O70" s="2">
        <f>ROUND(AVERAGE(O2:O69),3)</f>
        <v>1.4770000000000001</v>
      </c>
      <c r="P70" s="2">
        <f>ROUND(AVERAGE(P2:P69),3)</f>
        <v>1.849</v>
      </c>
      <c r="Q70" s="2">
        <f>ROUND(AVERAGE(Q2:Q69),3)</f>
        <v>2.2690000000000001</v>
      </c>
      <c r="R70" s="2">
        <f>ROUND(AVERAGE(R2:R69),3)</f>
        <v>3.3010000000000002</v>
      </c>
      <c r="S70" s="2" t="e">
        <f>ROUND(AVERAGE(S2:S69),3)</f>
        <v>#VALUE!</v>
      </c>
      <c r="U70" s="2">
        <f>ROUND(AVERAGE(U2:U69),3)</f>
        <v>1.1599999999999999</v>
      </c>
      <c r="V70" s="2">
        <f>ROUND(AVERAGE(V2:V69),3)</f>
        <v>1.4450000000000001</v>
      </c>
      <c r="W70" s="2">
        <f>ROUND(AVERAGE(W2:W69),3)</f>
        <v>1.4930000000000001</v>
      </c>
      <c r="X70" s="2">
        <f>ROUND(AVERAGE(X2:X69),3)</f>
        <v>2.3109999999999999</v>
      </c>
      <c r="Y70" s="2" t="e">
        <f>ROUND(AVERAGE(Y2:Y69),3)</f>
        <v>#VALUE!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95FC-32DF-4729-B071-8521E52442BC}">
  <dimension ref="A1:K80"/>
  <sheetViews>
    <sheetView workbookViewId="0"/>
  </sheetViews>
  <sheetFormatPr defaultRowHeight="14.5" x14ac:dyDescent="0.35"/>
  <cols>
    <col min="1" max="1" width="16.6328125" bestFit="1" customWidth="1"/>
    <col min="2" max="2" width="11.26953125" bestFit="1" customWidth="1"/>
    <col min="3" max="3" width="10.54296875" bestFit="1" customWidth="1"/>
    <col min="4" max="4" width="18.7265625" bestFit="1" customWidth="1"/>
    <col min="5" max="5" width="11.90625" bestFit="1" customWidth="1"/>
    <col min="6" max="6" width="13.36328125" bestFit="1" customWidth="1"/>
    <col min="7" max="7" width="10.26953125" bestFit="1" customWidth="1"/>
    <col min="8" max="8" width="10.6328125" bestFit="1" customWidth="1"/>
    <col min="9" max="9" width="11.81640625" bestFit="1" customWidth="1"/>
    <col min="10" max="10" width="13.3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39</v>
      </c>
      <c r="H1" t="s">
        <v>40</v>
      </c>
      <c r="I1" t="s">
        <v>5</v>
      </c>
      <c r="J1" t="s">
        <v>6</v>
      </c>
      <c r="K1" t="s">
        <v>41</v>
      </c>
    </row>
    <row r="2" spans="1:11" x14ac:dyDescent="0.35">
      <c r="A2" t="s">
        <v>9</v>
      </c>
      <c r="B2">
        <v>1</v>
      </c>
      <c r="C2">
        <v>0.88300000000000001</v>
      </c>
      <c r="D2">
        <v>144</v>
      </c>
      <c r="E2">
        <v>143</v>
      </c>
      <c r="F2">
        <v>194</v>
      </c>
      <c r="G2">
        <v>185</v>
      </c>
      <c r="H2">
        <v>1218</v>
      </c>
      <c r="I2">
        <v>322.23776223776224</v>
      </c>
      <c r="J2">
        <v>296</v>
      </c>
      <c r="K2">
        <v>124.32463471810253</v>
      </c>
    </row>
    <row r="3" spans="1:11" x14ac:dyDescent="0.35">
      <c r="A3" t="s">
        <v>9</v>
      </c>
      <c r="B3">
        <v>2</v>
      </c>
      <c r="C3">
        <v>0.97</v>
      </c>
      <c r="D3">
        <v>130</v>
      </c>
      <c r="E3">
        <v>129</v>
      </c>
      <c r="F3">
        <v>198</v>
      </c>
      <c r="G3">
        <v>184</v>
      </c>
      <c r="H3">
        <v>1157</v>
      </c>
      <c r="I3">
        <v>353.99224806201551</v>
      </c>
      <c r="J3">
        <v>302</v>
      </c>
      <c r="K3">
        <v>172.08274988540981</v>
      </c>
    </row>
    <row r="4" spans="1:11" x14ac:dyDescent="0.35">
      <c r="A4" t="s">
        <v>9</v>
      </c>
      <c r="B4">
        <v>3</v>
      </c>
      <c r="C4">
        <v>3.5230000000000001</v>
      </c>
      <c r="D4">
        <v>28</v>
      </c>
      <c r="E4">
        <v>27</v>
      </c>
      <c r="F4">
        <v>190</v>
      </c>
      <c r="G4">
        <v>190</v>
      </c>
      <c r="H4">
        <v>10761</v>
      </c>
      <c r="I4">
        <v>1285.7777777777778</v>
      </c>
      <c r="J4">
        <v>475</v>
      </c>
      <c r="K4">
        <v>2066.2410553382761</v>
      </c>
    </row>
    <row r="5" spans="1:11" x14ac:dyDescent="0.35">
      <c r="A5" t="s">
        <v>10</v>
      </c>
      <c r="B5">
        <v>1</v>
      </c>
      <c r="C5">
        <v>0.90400000000000003</v>
      </c>
      <c r="D5">
        <v>141</v>
      </c>
      <c r="E5">
        <v>140</v>
      </c>
      <c r="F5">
        <v>216</v>
      </c>
      <c r="G5">
        <v>182</v>
      </c>
      <c r="H5">
        <v>1579</v>
      </c>
      <c r="I5">
        <v>330.02857142857141</v>
      </c>
      <c r="J5">
        <v>286</v>
      </c>
      <c r="K5">
        <v>156.58292840979743</v>
      </c>
    </row>
    <row r="6" spans="1:11" x14ac:dyDescent="0.35">
      <c r="A6" t="s">
        <v>10</v>
      </c>
      <c r="B6">
        <v>2</v>
      </c>
      <c r="C6">
        <v>1.244</v>
      </c>
      <c r="D6">
        <v>59</v>
      </c>
      <c r="E6">
        <v>58</v>
      </c>
      <c r="F6">
        <v>182</v>
      </c>
      <c r="G6">
        <v>181</v>
      </c>
      <c r="H6">
        <v>3496</v>
      </c>
      <c r="I6">
        <v>454.24137931034483</v>
      </c>
      <c r="J6">
        <v>361.5</v>
      </c>
      <c r="K6">
        <v>447.42706245687367</v>
      </c>
    </row>
    <row r="7" spans="1:11" x14ac:dyDescent="0.35">
      <c r="A7" t="s">
        <v>10</v>
      </c>
      <c r="B7">
        <v>3</v>
      </c>
      <c r="C7">
        <v>2.266</v>
      </c>
      <c r="D7">
        <v>49</v>
      </c>
      <c r="E7">
        <v>48</v>
      </c>
      <c r="F7">
        <v>224</v>
      </c>
      <c r="G7">
        <v>181</v>
      </c>
      <c r="H7">
        <v>15863</v>
      </c>
      <c r="I7">
        <v>826.97916666666663</v>
      </c>
      <c r="J7">
        <v>413.5</v>
      </c>
      <c r="K7">
        <v>2245.3568989656496</v>
      </c>
    </row>
    <row r="8" spans="1:11" x14ac:dyDescent="0.35">
      <c r="A8" t="s">
        <v>11</v>
      </c>
      <c r="B8">
        <v>1</v>
      </c>
      <c r="C8">
        <v>0.86499999999999999</v>
      </c>
      <c r="D8">
        <v>145</v>
      </c>
      <c r="E8">
        <v>144</v>
      </c>
      <c r="F8">
        <v>183</v>
      </c>
      <c r="G8">
        <v>181</v>
      </c>
      <c r="H8">
        <v>1016</v>
      </c>
      <c r="I8">
        <v>315.73611111111109</v>
      </c>
      <c r="J8">
        <v>272.5</v>
      </c>
      <c r="K8">
        <v>136.21199705030426</v>
      </c>
    </row>
    <row r="9" spans="1:11" x14ac:dyDescent="0.35">
      <c r="A9" t="s">
        <v>11</v>
      </c>
      <c r="B9">
        <v>2</v>
      </c>
      <c r="C9">
        <v>3.847</v>
      </c>
      <c r="D9">
        <v>8</v>
      </c>
      <c r="E9">
        <v>7</v>
      </c>
      <c r="F9">
        <v>512</v>
      </c>
      <c r="G9">
        <v>512</v>
      </c>
      <c r="H9">
        <v>2742</v>
      </c>
      <c r="I9">
        <v>1404.1428571428571</v>
      </c>
      <c r="J9">
        <v>968</v>
      </c>
      <c r="K9">
        <v>801.6325179766294</v>
      </c>
    </row>
    <row r="10" spans="1:11" x14ac:dyDescent="0.35">
      <c r="A10" t="s">
        <v>11</v>
      </c>
      <c r="B10">
        <v>3</v>
      </c>
    </row>
    <row r="11" spans="1:11" x14ac:dyDescent="0.35">
      <c r="A11" t="s">
        <v>12</v>
      </c>
      <c r="B11">
        <v>1</v>
      </c>
      <c r="C11">
        <v>0.95599999999999996</v>
      </c>
      <c r="D11">
        <v>130</v>
      </c>
      <c r="E11">
        <v>129</v>
      </c>
      <c r="F11">
        <v>222</v>
      </c>
      <c r="G11">
        <v>182</v>
      </c>
      <c r="H11">
        <v>1204</v>
      </c>
      <c r="I11">
        <v>348.87596899224809</v>
      </c>
      <c r="J11">
        <v>316</v>
      </c>
      <c r="K11">
        <v>157.50171687273604</v>
      </c>
    </row>
    <row r="12" spans="1:11" x14ac:dyDescent="0.35">
      <c r="A12" t="s">
        <v>12</v>
      </c>
      <c r="B12">
        <v>2</v>
      </c>
    </row>
    <row r="13" spans="1:11" x14ac:dyDescent="0.35">
      <c r="A13" t="s">
        <v>12</v>
      </c>
      <c r="B13">
        <v>3</v>
      </c>
    </row>
    <row r="14" spans="1:11" x14ac:dyDescent="0.35">
      <c r="A14" t="s">
        <v>13</v>
      </c>
      <c r="B14">
        <v>1</v>
      </c>
      <c r="C14">
        <v>0.89600000000000002</v>
      </c>
      <c r="D14">
        <v>141</v>
      </c>
      <c r="E14">
        <v>140</v>
      </c>
      <c r="F14">
        <v>181</v>
      </c>
      <c r="G14">
        <v>181</v>
      </c>
      <c r="H14">
        <v>759</v>
      </c>
      <c r="I14">
        <v>327.15714285714284</v>
      </c>
      <c r="J14">
        <v>307.5</v>
      </c>
      <c r="K14">
        <v>115.09314683759234</v>
      </c>
    </row>
    <row r="15" spans="1:11" x14ac:dyDescent="0.35">
      <c r="A15" t="s">
        <v>13</v>
      </c>
      <c r="B15">
        <v>2</v>
      </c>
      <c r="C15">
        <v>0.876</v>
      </c>
      <c r="D15">
        <v>145</v>
      </c>
      <c r="E15">
        <v>144</v>
      </c>
      <c r="F15">
        <v>183</v>
      </c>
      <c r="G15">
        <v>182</v>
      </c>
      <c r="H15">
        <v>966</v>
      </c>
      <c r="I15">
        <v>319.82638888888891</v>
      </c>
      <c r="J15">
        <v>295.5</v>
      </c>
      <c r="K15">
        <v>113.73759577428842</v>
      </c>
    </row>
    <row r="16" spans="1:11" x14ac:dyDescent="0.35">
      <c r="A16" t="s">
        <v>13</v>
      </c>
      <c r="B16">
        <v>3</v>
      </c>
      <c r="C16">
        <v>0.95799999999999996</v>
      </c>
      <c r="D16">
        <v>130</v>
      </c>
      <c r="E16">
        <v>129</v>
      </c>
      <c r="F16">
        <v>281</v>
      </c>
      <c r="G16">
        <v>182</v>
      </c>
      <c r="H16">
        <v>1412</v>
      </c>
      <c r="I16">
        <v>349.62790697674421</v>
      </c>
      <c r="J16">
        <v>304</v>
      </c>
      <c r="K16">
        <v>169.70426030417354</v>
      </c>
    </row>
    <row r="17" spans="1:11" x14ac:dyDescent="0.35">
      <c r="A17" t="s">
        <v>14</v>
      </c>
      <c r="B17">
        <v>1</v>
      </c>
      <c r="C17">
        <v>1</v>
      </c>
      <c r="D17">
        <v>127</v>
      </c>
      <c r="E17">
        <v>126</v>
      </c>
      <c r="F17">
        <v>187</v>
      </c>
      <c r="G17">
        <v>185</v>
      </c>
      <c r="H17">
        <v>1181</v>
      </c>
      <c r="I17">
        <v>365.10317460317458</v>
      </c>
      <c r="J17">
        <v>334.5</v>
      </c>
      <c r="K17">
        <v>168.73186342820267</v>
      </c>
    </row>
    <row r="18" spans="1:11" x14ac:dyDescent="0.35">
      <c r="A18" t="s">
        <v>14</v>
      </c>
      <c r="B18">
        <v>2</v>
      </c>
      <c r="C18">
        <v>1.0129999999999999</v>
      </c>
      <c r="D18">
        <v>123</v>
      </c>
      <c r="E18">
        <v>122</v>
      </c>
      <c r="F18">
        <v>242</v>
      </c>
      <c r="G18">
        <v>184</v>
      </c>
      <c r="H18">
        <v>2958</v>
      </c>
      <c r="I18">
        <v>369.88524590163934</v>
      </c>
      <c r="J18">
        <v>299.5</v>
      </c>
      <c r="K18">
        <v>289.48414256865613</v>
      </c>
    </row>
    <row r="19" spans="1:11" x14ac:dyDescent="0.35">
      <c r="A19" t="s">
        <v>14</v>
      </c>
      <c r="B19">
        <v>3</v>
      </c>
      <c r="C19">
        <v>1.5349999999999999</v>
      </c>
      <c r="D19">
        <v>65</v>
      </c>
      <c r="E19">
        <v>64</v>
      </c>
      <c r="F19">
        <v>223</v>
      </c>
      <c r="G19">
        <v>188</v>
      </c>
      <c r="H19">
        <v>6001</v>
      </c>
      <c r="I19">
        <v>560.375</v>
      </c>
      <c r="J19">
        <v>351.5</v>
      </c>
      <c r="K19">
        <v>835.29980583321105</v>
      </c>
    </row>
    <row r="20" spans="1:11" x14ac:dyDescent="0.35">
      <c r="A20" t="s">
        <v>15</v>
      </c>
      <c r="B20">
        <v>1</v>
      </c>
      <c r="C20">
        <v>1.1779999999999999</v>
      </c>
      <c r="D20">
        <v>99</v>
      </c>
      <c r="E20">
        <v>98</v>
      </c>
      <c r="F20">
        <v>306</v>
      </c>
      <c r="G20">
        <v>193</v>
      </c>
      <c r="H20">
        <v>1941</v>
      </c>
      <c r="I20">
        <v>430.03061224489795</v>
      </c>
      <c r="J20">
        <v>333.5</v>
      </c>
      <c r="K20">
        <v>281.66108792420295</v>
      </c>
    </row>
    <row r="21" spans="1:11" x14ac:dyDescent="0.35">
      <c r="A21" t="s">
        <v>15</v>
      </c>
      <c r="B21">
        <v>2</v>
      </c>
      <c r="C21">
        <v>1.827</v>
      </c>
      <c r="D21">
        <v>47</v>
      </c>
      <c r="E21">
        <v>46</v>
      </c>
      <c r="F21">
        <v>343</v>
      </c>
      <c r="G21">
        <v>198</v>
      </c>
      <c r="H21">
        <v>4603</v>
      </c>
      <c r="I21">
        <v>666.91304347826087</v>
      </c>
      <c r="J21">
        <v>401.5</v>
      </c>
      <c r="K21">
        <v>860.18480891145794</v>
      </c>
    </row>
    <row r="22" spans="1:11" x14ac:dyDescent="0.35">
      <c r="A22" t="s">
        <v>15</v>
      </c>
      <c r="B22">
        <v>3</v>
      </c>
      <c r="C22">
        <v>2.5510000000000002</v>
      </c>
      <c r="D22">
        <v>20</v>
      </c>
      <c r="E22">
        <v>19</v>
      </c>
      <c r="F22">
        <v>244</v>
      </c>
      <c r="G22">
        <v>244</v>
      </c>
      <c r="H22">
        <v>4149</v>
      </c>
      <c r="I22">
        <v>931</v>
      </c>
      <c r="J22">
        <v>623</v>
      </c>
      <c r="K22">
        <v>906.30475878121354</v>
      </c>
    </row>
    <row r="23" spans="1:11" x14ac:dyDescent="0.35">
      <c r="A23" t="s">
        <v>16</v>
      </c>
      <c r="B23">
        <v>1</v>
      </c>
      <c r="C23">
        <v>1.2549999999999999</v>
      </c>
      <c r="D23">
        <v>100</v>
      </c>
      <c r="E23">
        <v>99</v>
      </c>
      <c r="F23">
        <v>184</v>
      </c>
      <c r="G23">
        <v>184</v>
      </c>
      <c r="H23">
        <v>3777</v>
      </c>
      <c r="I23">
        <v>458.13131313131311</v>
      </c>
      <c r="J23">
        <v>325</v>
      </c>
      <c r="K23">
        <v>468.45763790810076</v>
      </c>
    </row>
    <row r="24" spans="1:11" x14ac:dyDescent="0.35">
      <c r="A24" t="s">
        <v>16</v>
      </c>
      <c r="B24">
        <v>2</v>
      </c>
      <c r="C24">
        <v>5.992</v>
      </c>
      <c r="D24">
        <v>20</v>
      </c>
      <c r="E24">
        <v>19</v>
      </c>
      <c r="F24">
        <v>211</v>
      </c>
      <c r="G24">
        <v>211</v>
      </c>
      <c r="H24">
        <v>23247</v>
      </c>
      <c r="I24">
        <v>2186.9473684210525</v>
      </c>
      <c r="J24">
        <v>786</v>
      </c>
      <c r="K24">
        <v>5007.135208602811</v>
      </c>
    </row>
    <row r="25" spans="1:11" x14ac:dyDescent="0.35">
      <c r="A25" t="s">
        <v>16</v>
      </c>
      <c r="B25">
        <v>3</v>
      </c>
    </row>
    <row r="26" spans="1:11" x14ac:dyDescent="0.35">
      <c r="A26" t="s">
        <v>17</v>
      </c>
      <c r="B26">
        <v>1</v>
      </c>
      <c r="C26">
        <v>0.84099999999999997</v>
      </c>
      <c r="D26">
        <v>150</v>
      </c>
      <c r="E26">
        <v>149</v>
      </c>
      <c r="F26">
        <v>187</v>
      </c>
      <c r="G26">
        <v>181</v>
      </c>
      <c r="H26">
        <v>1177</v>
      </c>
      <c r="I26">
        <v>306.91946308724835</v>
      </c>
      <c r="J26">
        <v>277</v>
      </c>
      <c r="K26">
        <v>124.62666486086594</v>
      </c>
    </row>
    <row r="27" spans="1:11" x14ac:dyDescent="0.35">
      <c r="A27" t="s">
        <v>17</v>
      </c>
      <c r="B27">
        <v>2</v>
      </c>
      <c r="C27">
        <v>1.6579999999999999</v>
      </c>
      <c r="D27">
        <v>77</v>
      </c>
      <c r="E27">
        <v>76</v>
      </c>
      <c r="F27">
        <v>255</v>
      </c>
      <c r="G27">
        <v>182</v>
      </c>
      <c r="H27">
        <v>14055</v>
      </c>
      <c r="I27">
        <v>605.28947368421052</v>
      </c>
      <c r="J27">
        <v>256.5</v>
      </c>
      <c r="K27">
        <v>1717.3931347722573</v>
      </c>
    </row>
    <row r="28" spans="1:11" x14ac:dyDescent="0.35">
      <c r="A28" t="s">
        <v>17</v>
      </c>
      <c r="B28">
        <v>3</v>
      </c>
      <c r="C28">
        <v>1.9610000000000001</v>
      </c>
      <c r="D28">
        <v>62</v>
      </c>
      <c r="E28">
        <v>61</v>
      </c>
      <c r="F28">
        <v>464</v>
      </c>
      <c r="G28">
        <v>182</v>
      </c>
      <c r="H28">
        <v>20752</v>
      </c>
      <c r="I28">
        <v>715.81967213114751</v>
      </c>
      <c r="J28">
        <v>340</v>
      </c>
      <c r="K28">
        <v>2595.7717100624527</v>
      </c>
    </row>
    <row r="29" spans="1:11" x14ac:dyDescent="0.35">
      <c r="A29" t="s">
        <v>18</v>
      </c>
      <c r="B29">
        <v>1</v>
      </c>
      <c r="C29">
        <v>1.2210000000000001</v>
      </c>
      <c r="D29">
        <v>102</v>
      </c>
      <c r="E29">
        <v>101</v>
      </c>
      <c r="F29">
        <v>193</v>
      </c>
      <c r="G29">
        <v>181</v>
      </c>
      <c r="H29">
        <v>4597</v>
      </c>
      <c r="I29">
        <v>445.84158415841586</v>
      </c>
      <c r="J29">
        <v>323</v>
      </c>
      <c r="K29">
        <v>488.01949183344277</v>
      </c>
    </row>
    <row r="30" spans="1:11" x14ac:dyDescent="0.35">
      <c r="A30" t="s">
        <v>18</v>
      </c>
      <c r="B30">
        <v>2</v>
      </c>
      <c r="C30">
        <v>1.4930000000000001</v>
      </c>
      <c r="D30">
        <v>74</v>
      </c>
      <c r="E30">
        <v>73</v>
      </c>
      <c r="F30">
        <v>231</v>
      </c>
      <c r="G30">
        <v>181</v>
      </c>
      <c r="H30">
        <v>5870</v>
      </c>
      <c r="I30">
        <v>545.02739726027403</v>
      </c>
      <c r="J30">
        <v>326</v>
      </c>
      <c r="K30">
        <v>782.52102203986942</v>
      </c>
    </row>
    <row r="31" spans="1:11" x14ac:dyDescent="0.35">
      <c r="A31" t="s">
        <v>18</v>
      </c>
      <c r="B31">
        <v>3</v>
      </c>
      <c r="C31">
        <v>1.405</v>
      </c>
      <c r="D31">
        <v>73</v>
      </c>
      <c r="E31">
        <v>72</v>
      </c>
      <c r="F31">
        <v>181</v>
      </c>
      <c r="G31">
        <v>181</v>
      </c>
      <c r="H31">
        <v>5499</v>
      </c>
      <c r="I31">
        <v>512.97222222222217</v>
      </c>
      <c r="J31">
        <v>352.5</v>
      </c>
      <c r="K31">
        <v>685.05437684055062</v>
      </c>
    </row>
    <row r="32" spans="1:11" x14ac:dyDescent="0.35">
      <c r="A32" t="s">
        <v>19</v>
      </c>
      <c r="B32">
        <v>1</v>
      </c>
      <c r="C32">
        <v>1.1879999999999999</v>
      </c>
      <c r="D32">
        <v>102</v>
      </c>
      <c r="E32">
        <v>101</v>
      </c>
      <c r="F32">
        <v>194</v>
      </c>
      <c r="G32">
        <v>184</v>
      </c>
      <c r="H32">
        <v>3045</v>
      </c>
      <c r="I32">
        <v>433.67326732673268</v>
      </c>
      <c r="J32">
        <v>327</v>
      </c>
      <c r="K32">
        <v>383.39510186861986</v>
      </c>
    </row>
    <row r="33" spans="1:11" x14ac:dyDescent="0.35">
      <c r="A33" t="s">
        <v>19</v>
      </c>
      <c r="B33">
        <v>2</v>
      </c>
      <c r="C33">
        <v>1.1419999999999999</v>
      </c>
      <c r="D33">
        <v>106</v>
      </c>
      <c r="E33">
        <v>105</v>
      </c>
      <c r="F33">
        <v>189</v>
      </c>
      <c r="G33">
        <v>183</v>
      </c>
      <c r="H33">
        <v>3315</v>
      </c>
      <c r="I33">
        <v>416.72380952380951</v>
      </c>
      <c r="J33">
        <v>311</v>
      </c>
      <c r="K33">
        <v>400.8348073289543</v>
      </c>
    </row>
    <row r="34" spans="1:11" x14ac:dyDescent="0.35">
      <c r="A34" t="s">
        <v>19</v>
      </c>
      <c r="B34">
        <v>3</v>
      </c>
      <c r="C34">
        <v>1.4610000000000001</v>
      </c>
      <c r="D34">
        <v>84</v>
      </c>
      <c r="E34">
        <v>83</v>
      </c>
      <c r="F34">
        <v>205</v>
      </c>
      <c r="G34">
        <v>181</v>
      </c>
      <c r="H34">
        <v>5211</v>
      </c>
      <c r="I34">
        <v>533.2168674698795</v>
      </c>
      <c r="J34">
        <v>321</v>
      </c>
      <c r="K34">
        <v>742.16753618282257</v>
      </c>
    </row>
    <row r="35" spans="1:11" x14ac:dyDescent="0.35">
      <c r="A35" t="s">
        <v>20</v>
      </c>
      <c r="B35">
        <v>1</v>
      </c>
      <c r="C35">
        <v>1.0620000000000001</v>
      </c>
      <c r="D35">
        <v>115</v>
      </c>
      <c r="E35">
        <v>114</v>
      </c>
      <c r="F35">
        <v>246</v>
      </c>
      <c r="G35">
        <v>181</v>
      </c>
      <c r="H35">
        <v>2260</v>
      </c>
      <c r="I35">
        <v>387.79824561403507</v>
      </c>
      <c r="J35">
        <v>303</v>
      </c>
      <c r="K35">
        <v>310.34333505161214</v>
      </c>
    </row>
    <row r="36" spans="1:11" x14ac:dyDescent="0.35">
      <c r="A36" t="s">
        <v>20</v>
      </c>
      <c r="B36">
        <v>2</v>
      </c>
      <c r="C36">
        <v>1.407</v>
      </c>
      <c r="D36">
        <v>74</v>
      </c>
      <c r="E36">
        <v>73</v>
      </c>
      <c r="F36">
        <v>227</v>
      </c>
      <c r="G36">
        <v>181</v>
      </c>
      <c r="H36">
        <v>4817</v>
      </c>
      <c r="I36">
        <v>513.65753424657532</v>
      </c>
      <c r="J36">
        <v>333</v>
      </c>
      <c r="K36">
        <v>738.51597248896212</v>
      </c>
    </row>
    <row r="37" spans="1:11" x14ac:dyDescent="0.35">
      <c r="A37" t="s">
        <v>20</v>
      </c>
      <c r="B37">
        <v>3</v>
      </c>
      <c r="C37">
        <v>1.88</v>
      </c>
      <c r="D37">
        <v>62</v>
      </c>
      <c r="E37">
        <v>61</v>
      </c>
      <c r="F37">
        <v>190</v>
      </c>
      <c r="G37">
        <v>182</v>
      </c>
      <c r="H37">
        <v>4420</v>
      </c>
      <c r="I37">
        <v>686.26229508196718</v>
      </c>
      <c r="J37">
        <v>345</v>
      </c>
      <c r="K37">
        <v>911.94382379545016</v>
      </c>
    </row>
    <row r="38" spans="1:11" x14ac:dyDescent="0.35">
      <c r="A38" t="s">
        <v>21</v>
      </c>
      <c r="B38">
        <v>1</v>
      </c>
      <c r="C38">
        <v>1.2210000000000001</v>
      </c>
      <c r="D38">
        <v>103</v>
      </c>
      <c r="E38">
        <v>102</v>
      </c>
      <c r="F38">
        <v>204</v>
      </c>
      <c r="G38">
        <v>182</v>
      </c>
      <c r="H38">
        <v>3866</v>
      </c>
      <c r="I38">
        <v>445.68627450980392</v>
      </c>
      <c r="J38">
        <v>328</v>
      </c>
      <c r="K38">
        <v>452.64633600404352</v>
      </c>
    </row>
    <row r="39" spans="1:11" x14ac:dyDescent="0.35">
      <c r="A39" t="s">
        <v>21</v>
      </c>
      <c r="B39">
        <v>2</v>
      </c>
    </row>
    <row r="40" spans="1:11" x14ac:dyDescent="0.35">
      <c r="A40" t="s">
        <v>21</v>
      </c>
      <c r="B40">
        <v>3</v>
      </c>
    </row>
    <row r="41" spans="1:11" x14ac:dyDescent="0.35">
      <c r="A41" t="s">
        <v>22</v>
      </c>
      <c r="B41">
        <v>1</v>
      </c>
      <c r="C41">
        <v>1.393</v>
      </c>
      <c r="D41">
        <v>91</v>
      </c>
      <c r="E41">
        <v>90</v>
      </c>
      <c r="F41">
        <v>203</v>
      </c>
      <c r="G41">
        <v>184</v>
      </c>
      <c r="H41">
        <v>4450</v>
      </c>
      <c r="I41">
        <v>508.56666666666666</v>
      </c>
      <c r="J41">
        <v>327</v>
      </c>
      <c r="K41">
        <v>567.78045541877862</v>
      </c>
    </row>
    <row r="42" spans="1:11" x14ac:dyDescent="0.35">
      <c r="A42" t="s">
        <v>23</v>
      </c>
      <c r="B42">
        <v>1</v>
      </c>
      <c r="C42">
        <v>1.2929999999999999</v>
      </c>
      <c r="D42">
        <v>98</v>
      </c>
      <c r="E42">
        <v>97</v>
      </c>
      <c r="F42">
        <v>183</v>
      </c>
      <c r="G42">
        <v>183</v>
      </c>
      <c r="H42">
        <v>3304</v>
      </c>
      <c r="I42">
        <v>471.94845360824741</v>
      </c>
      <c r="J42">
        <v>346</v>
      </c>
      <c r="K42">
        <v>446.24865638156376</v>
      </c>
    </row>
    <row r="43" spans="1:11" x14ac:dyDescent="0.35">
      <c r="A43" t="s">
        <v>23</v>
      </c>
      <c r="B43">
        <v>2</v>
      </c>
    </row>
    <row r="44" spans="1:11" x14ac:dyDescent="0.35">
      <c r="A44" t="s">
        <v>24</v>
      </c>
      <c r="B44">
        <v>1</v>
      </c>
      <c r="C44">
        <v>1.3380000000000001</v>
      </c>
      <c r="D44">
        <v>85</v>
      </c>
      <c r="E44">
        <v>84</v>
      </c>
      <c r="F44">
        <v>286</v>
      </c>
      <c r="G44">
        <v>184</v>
      </c>
      <c r="H44">
        <v>8071</v>
      </c>
      <c r="I44">
        <v>488.40476190476193</v>
      </c>
      <c r="J44">
        <v>303</v>
      </c>
      <c r="K44">
        <v>892.22193372778247</v>
      </c>
    </row>
    <row r="45" spans="1:11" x14ac:dyDescent="0.35">
      <c r="A45" t="s">
        <v>24</v>
      </c>
      <c r="B45">
        <v>2</v>
      </c>
      <c r="C45">
        <v>3.964</v>
      </c>
      <c r="D45">
        <v>13</v>
      </c>
      <c r="E45">
        <v>12</v>
      </c>
      <c r="F45">
        <v>239</v>
      </c>
      <c r="G45">
        <v>239</v>
      </c>
      <c r="H45">
        <v>5696</v>
      </c>
      <c r="I45">
        <v>1447</v>
      </c>
      <c r="J45">
        <v>547</v>
      </c>
      <c r="K45">
        <v>1744.351025453306</v>
      </c>
    </row>
    <row r="46" spans="1:11" x14ac:dyDescent="0.35">
      <c r="A46" t="s">
        <v>25</v>
      </c>
      <c r="B46">
        <v>1</v>
      </c>
      <c r="C46">
        <v>0.94799999999999995</v>
      </c>
      <c r="D46">
        <v>130</v>
      </c>
      <c r="E46">
        <v>129</v>
      </c>
      <c r="F46">
        <v>309</v>
      </c>
      <c r="G46">
        <v>187</v>
      </c>
      <c r="H46">
        <v>1112</v>
      </c>
      <c r="I46">
        <v>345.94573643410854</v>
      </c>
      <c r="J46">
        <v>309</v>
      </c>
      <c r="K46">
        <v>152.29516985410856</v>
      </c>
    </row>
    <row r="47" spans="1:11" x14ac:dyDescent="0.35">
      <c r="A47" t="s">
        <v>25</v>
      </c>
      <c r="B47">
        <v>2</v>
      </c>
      <c r="C47">
        <v>1.161</v>
      </c>
      <c r="D47">
        <v>80</v>
      </c>
      <c r="E47">
        <v>79</v>
      </c>
      <c r="F47">
        <v>195</v>
      </c>
      <c r="G47">
        <v>183</v>
      </c>
      <c r="H47">
        <v>2761</v>
      </c>
      <c r="I47">
        <v>423.88607594936707</v>
      </c>
      <c r="J47">
        <v>301</v>
      </c>
      <c r="K47">
        <v>425.3305784273702</v>
      </c>
    </row>
    <row r="48" spans="1:11" x14ac:dyDescent="0.35">
      <c r="A48" t="s">
        <v>25</v>
      </c>
      <c r="B48">
        <v>3</v>
      </c>
      <c r="C48">
        <v>1.488</v>
      </c>
      <c r="D48">
        <v>68</v>
      </c>
      <c r="E48">
        <v>67</v>
      </c>
      <c r="F48">
        <v>242</v>
      </c>
      <c r="G48">
        <v>183</v>
      </c>
      <c r="H48">
        <v>13608</v>
      </c>
      <c r="I48">
        <v>543.20895522388059</v>
      </c>
      <c r="J48">
        <v>292</v>
      </c>
      <c r="K48">
        <v>1629.695315698415</v>
      </c>
    </row>
    <row r="49" spans="1:11" x14ac:dyDescent="0.35">
      <c r="A49" t="s">
        <v>26</v>
      </c>
      <c r="B49">
        <v>1</v>
      </c>
      <c r="C49">
        <v>1.375</v>
      </c>
      <c r="D49">
        <v>78</v>
      </c>
      <c r="E49">
        <v>77</v>
      </c>
      <c r="F49">
        <v>288</v>
      </c>
      <c r="G49">
        <v>181</v>
      </c>
      <c r="H49">
        <v>7639</v>
      </c>
      <c r="I49">
        <v>502.03896103896102</v>
      </c>
      <c r="J49">
        <v>312</v>
      </c>
      <c r="K49">
        <v>974.24760768474061</v>
      </c>
    </row>
    <row r="50" spans="1:11" x14ac:dyDescent="0.35">
      <c r="A50" t="s">
        <v>26</v>
      </c>
      <c r="B50">
        <v>2</v>
      </c>
      <c r="C50">
        <v>1.4419999999999999</v>
      </c>
      <c r="D50">
        <v>70</v>
      </c>
      <c r="E50">
        <v>69</v>
      </c>
      <c r="F50">
        <v>198</v>
      </c>
      <c r="G50">
        <v>198</v>
      </c>
      <c r="H50">
        <v>14530</v>
      </c>
      <c r="I50">
        <v>526.15942028985512</v>
      </c>
      <c r="J50">
        <v>301</v>
      </c>
      <c r="K50">
        <v>1702.1230274783686</v>
      </c>
    </row>
    <row r="51" spans="1:11" x14ac:dyDescent="0.35">
      <c r="A51" t="s">
        <v>26</v>
      </c>
      <c r="B51">
        <v>3</v>
      </c>
      <c r="C51">
        <v>1.833</v>
      </c>
      <c r="D51">
        <v>63</v>
      </c>
      <c r="E51">
        <v>62</v>
      </c>
      <c r="F51">
        <v>233</v>
      </c>
      <c r="G51">
        <v>182</v>
      </c>
      <c r="H51">
        <v>12472</v>
      </c>
      <c r="I51">
        <v>668.90322580645159</v>
      </c>
      <c r="J51">
        <v>345.5</v>
      </c>
      <c r="K51">
        <v>1613.5054575682409</v>
      </c>
    </row>
    <row r="52" spans="1:11" x14ac:dyDescent="0.35">
      <c r="A52" t="s">
        <v>27</v>
      </c>
      <c r="B52">
        <v>1</v>
      </c>
      <c r="C52">
        <v>1.0649999999999999</v>
      </c>
      <c r="D52">
        <v>113</v>
      </c>
      <c r="E52">
        <v>112</v>
      </c>
      <c r="F52">
        <v>230</v>
      </c>
      <c r="G52">
        <v>184</v>
      </c>
      <c r="H52">
        <v>2126</v>
      </c>
      <c r="I52">
        <v>388.89285714285717</v>
      </c>
      <c r="J52">
        <v>332.5</v>
      </c>
      <c r="K52">
        <v>247.91071107006513</v>
      </c>
    </row>
    <row r="53" spans="1:11" x14ac:dyDescent="0.35">
      <c r="A53" t="s">
        <v>27</v>
      </c>
      <c r="B53">
        <v>2</v>
      </c>
      <c r="C53">
        <v>2.81</v>
      </c>
      <c r="D53">
        <v>19</v>
      </c>
      <c r="E53">
        <v>18</v>
      </c>
      <c r="F53">
        <v>213</v>
      </c>
      <c r="G53">
        <v>213</v>
      </c>
      <c r="H53">
        <v>2834</v>
      </c>
      <c r="I53">
        <v>1025.7222222222222</v>
      </c>
      <c r="J53">
        <v>861.5</v>
      </c>
      <c r="K53">
        <v>800.80361065588738</v>
      </c>
    </row>
    <row r="54" spans="1:11" x14ac:dyDescent="0.35">
      <c r="A54" t="s">
        <v>27</v>
      </c>
      <c r="B54">
        <v>3</v>
      </c>
      <c r="C54">
        <v>7.2309999999999999</v>
      </c>
      <c r="D54">
        <v>14</v>
      </c>
      <c r="E54">
        <v>13</v>
      </c>
      <c r="F54">
        <v>245</v>
      </c>
      <c r="G54">
        <v>245</v>
      </c>
      <c r="H54">
        <v>18438</v>
      </c>
      <c r="I54">
        <v>2639.4615384615386</v>
      </c>
      <c r="J54">
        <v>828</v>
      </c>
      <c r="K54">
        <v>4736.8916392890887</v>
      </c>
    </row>
    <row r="55" spans="1:11" x14ac:dyDescent="0.35">
      <c r="A55" t="s">
        <v>28</v>
      </c>
      <c r="B55">
        <v>1</v>
      </c>
      <c r="C55">
        <v>1.52</v>
      </c>
      <c r="D55">
        <v>79</v>
      </c>
      <c r="E55">
        <v>78</v>
      </c>
      <c r="F55">
        <v>334</v>
      </c>
      <c r="G55">
        <v>186</v>
      </c>
      <c r="H55">
        <v>5447</v>
      </c>
      <c r="I55">
        <v>554.97435897435901</v>
      </c>
      <c r="J55">
        <v>338</v>
      </c>
      <c r="K55">
        <v>747.68838590649568</v>
      </c>
    </row>
    <row r="56" spans="1:11" x14ac:dyDescent="0.35">
      <c r="A56" t="s">
        <v>28</v>
      </c>
      <c r="B56">
        <v>2</v>
      </c>
      <c r="C56">
        <v>2.306</v>
      </c>
      <c r="D56">
        <v>48</v>
      </c>
      <c r="E56">
        <v>47</v>
      </c>
      <c r="F56">
        <v>476</v>
      </c>
      <c r="G56">
        <v>185</v>
      </c>
      <c r="H56">
        <v>12632</v>
      </c>
      <c r="I56">
        <v>841.68085106382978</v>
      </c>
      <c r="J56">
        <v>363</v>
      </c>
      <c r="K56">
        <v>1813.1983040013349</v>
      </c>
    </row>
    <row r="57" spans="1:11" x14ac:dyDescent="0.35">
      <c r="A57" t="s">
        <v>28</v>
      </c>
      <c r="B57">
        <v>3</v>
      </c>
      <c r="C57">
        <v>3.5169999999999999</v>
      </c>
      <c r="D57">
        <v>15</v>
      </c>
      <c r="E57">
        <v>14</v>
      </c>
      <c r="F57">
        <v>268</v>
      </c>
      <c r="G57">
        <v>268</v>
      </c>
      <c r="H57">
        <v>10228</v>
      </c>
      <c r="I57">
        <v>1283.5714285714287</v>
      </c>
      <c r="J57">
        <v>452.5</v>
      </c>
      <c r="K57">
        <v>2509.5845619284055</v>
      </c>
    </row>
    <row r="58" spans="1:11" x14ac:dyDescent="0.35">
      <c r="A58" t="s">
        <v>29</v>
      </c>
      <c r="B58">
        <v>1</v>
      </c>
      <c r="C58">
        <v>0.88300000000000001</v>
      </c>
      <c r="D58">
        <v>144</v>
      </c>
      <c r="E58">
        <v>143</v>
      </c>
      <c r="F58">
        <v>188</v>
      </c>
      <c r="G58">
        <v>181</v>
      </c>
      <c r="H58">
        <v>689</v>
      </c>
      <c r="I58">
        <v>322.42657342657344</v>
      </c>
      <c r="J58">
        <v>303</v>
      </c>
      <c r="K58">
        <v>102.55822085275452</v>
      </c>
    </row>
    <row r="59" spans="1:11" x14ac:dyDescent="0.35">
      <c r="A59" t="s">
        <v>29</v>
      </c>
      <c r="B59">
        <v>2</v>
      </c>
      <c r="C59">
        <v>2.3119999999999998</v>
      </c>
      <c r="D59">
        <v>43</v>
      </c>
      <c r="E59">
        <v>42</v>
      </c>
      <c r="F59">
        <v>196</v>
      </c>
      <c r="G59">
        <v>182</v>
      </c>
      <c r="H59">
        <v>10710</v>
      </c>
      <c r="I59">
        <v>843.76190476190482</v>
      </c>
      <c r="J59">
        <v>437.5</v>
      </c>
      <c r="K59">
        <v>1682.422315612986</v>
      </c>
    </row>
    <row r="60" spans="1:11" x14ac:dyDescent="0.35">
      <c r="A60" t="s">
        <v>29</v>
      </c>
      <c r="B60">
        <v>3</v>
      </c>
      <c r="C60">
        <v>1.401</v>
      </c>
      <c r="D60">
        <v>43</v>
      </c>
      <c r="E60">
        <v>42</v>
      </c>
      <c r="F60">
        <v>294</v>
      </c>
      <c r="G60">
        <v>203</v>
      </c>
      <c r="H60">
        <v>2672</v>
      </c>
      <c r="I60">
        <v>511.1904761904762</v>
      </c>
      <c r="J60">
        <v>382</v>
      </c>
      <c r="K60">
        <v>416.03881676131397</v>
      </c>
    </row>
    <row r="61" spans="1:11" x14ac:dyDescent="0.35">
      <c r="A61" t="s">
        <v>30</v>
      </c>
      <c r="B61">
        <v>1</v>
      </c>
      <c r="C61">
        <v>1.246</v>
      </c>
      <c r="D61">
        <v>98</v>
      </c>
      <c r="E61">
        <v>97</v>
      </c>
      <c r="F61">
        <v>185</v>
      </c>
      <c r="G61">
        <v>185</v>
      </c>
      <c r="H61">
        <v>5050</v>
      </c>
      <c r="I61">
        <v>454.64948453608247</v>
      </c>
      <c r="J61">
        <v>294</v>
      </c>
      <c r="K61">
        <v>624.4223068926151</v>
      </c>
    </row>
    <row r="62" spans="1:11" x14ac:dyDescent="0.35">
      <c r="A62" t="s">
        <v>30</v>
      </c>
      <c r="B62">
        <v>2</v>
      </c>
    </row>
    <row r="63" spans="1:11" x14ac:dyDescent="0.35">
      <c r="A63" t="s">
        <v>30</v>
      </c>
      <c r="B63">
        <v>3</v>
      </c>
    </row>
    <row r="64" spans="1:11" x14ac:dyDescent="0.35">
      <c r="A64" t="s">
        <v>31</v>
      </c>
      <c r="B64">
        <v>1</v>
      </c>
      <c r="C64">
        <v>1.298</v>
      </c>
      <c r="D64">
        <v>79</v>
      </c>
      <c r="E64">
        <v>78</v>
      </c>
      <c r="F64">
        <v>357</v>
      </c>
      <c r="G64">
        <v>183</v>
      </c>
      <c r="H64">
        <v>3741</v>
      </c>
      <c r="I64">
        <v>473.65384615384613</v>
      </c>
      <c r="J64">
        <v>356.5</v>
      </c>
      <c r="K64">
        <v>454.9548815872613</v>
      </c>
    </row>
    <row r="65" spans="1:11" x14ac:dyDescent="0.35">
      <c r="A65" t="s">
        <v>31</v>
      </c>
      <c r="B65">
        <v>2</v>
      </c>
      <c r="C65">
        <v>1.6890000000000001</v>
      </c>
      <c r="D65">
        <v>57</v>
      </c>
      <c r="E65">
        <v>56</v>
      </c>
      <c r="F65">
        <v>182</v>
      </c>
      <c r="G65">
        <v>182</v>
      </c>
      <c r="H65">
        <v>7303</v>
      </c>
      <c r="I65">
        <v>616.625</v>
      </c>
      <c r="J65">
        <v>372</v>
      </c>
      <c r="K65">
        <v>1003.7083128240708</v>
      </c>
    </row>
    <row r="66" spans="1:11" x14ac:dyDescent="0.35">
      <c r="A66" t="s">
        <v>31</v>
      </c>
      <c r="B66">
        <v>3</v>
      </c>
      <c r="C66">
        <v>1.673</v>
      </c>
      <c r="D66">
        <v>56</v>
      </c>
      <c r="E66">
        <v>55</v>
      </c>
      <c r="F66">
        <v>197</v>
      </c>
      <c r="G66">
        <v>185</v>
      </c>
      <c r="H66">
        <v>4391</v>
      </c>
      <c r="I66">
        <v>610.4727272727273</v>
      </c>
      <c r="J66">
        <v>351</v>
      </c>
      <c r="K66">
        <v>765.10631119996435</v>
      </c>
    </row>
    <row r="67" spans="1:11" x14ac:dyDescent="0.35">
      <c r="A67" t="s">
        <v>32</v>
      </c>
      <c r="B67">
        <v>1</v>
      </c>
      <c r="C67">
        <v>0.95599999999999996</v>
      </c>
      <c r="D67">
        <v>122</v>
      </c>
      <c r="E67">
        <v>121</v>
      </c>
      <c r="F67">
        <v>187</v>
      </c>
      <c r="G67">
        <v>182</v>
      </c>
      <c r="H67">
        <v>921</v>
      </c>
      <c r="I67">
        <v>348.95867768595042</v>
      </c>
      <c r="J67">
        <v>325</v>
      </c>
      <c r="K67">
        <v>138.87019902327455</v>
      </c>
    </row>
    <row r="68" spans="1:11" x14ac:dyDescent="0.35">
      <c r="A68" t="s">
        <v>32</v>
      </c>
      <c r="B68">
        <v>2</v>
      </c>
      <c r="C68">
        <v>1.2669999999999999</v>
      </c>
      <c r="D68">
        <v>86</v>
      </c>
      <c r="E68">
        <v>85</v>
      </c>
      <c r="F68">
        <v>217</v>
      </c>
      <c r="G68">
        <v>181</v>
      </c>
      <c r="H68">
        <v>3550</v>
      </c>
      <c r="I68">
        <v>462.36470588235295</v>
      </c>
      <c r="J68">
        <v>308</v>
      </c>
      <c r="K68">
        <v>473.1836814614216</v>
      </c>
    </row>
    <row r="69" spans="1:11" x14ac:dyDescent="0.35">
      <c r="A69" t="s">
        <v>32</v>
      </c>
      <c r="B69">
        <v>3</v>
      </c>
    </row>
    <row r="70" spans="1:11" x14ac:dyDescent="0.35">
      <c r="A70" t="s">
        <v>34</v>
      </c>
      <c r="B70">
        <v>1</v>
      </c>
      <c r="C70">
        <v>2.383</v>
      </c>
      <c r="D70">
        <v>49</v>
      </c>
      <c r="E70">
        <v>48</v>
      </c>
      <c r="F70">
        <v>216</v>
      </c>
      <c r="G70">
        <v>184</v>
      </c>
      <c r="H70">
        <v>6049</v>
      </c>
      <c r="I70">
        <v>869.72916666666663</v>
      </c>
      <c r="J70">
        <v>373</v>
      </c>
      <c r="K70">
        <v>1249.8829068420657</v>
      </c>
    </row>
    <row r="71" spans="1:11" x14ac:dyDescent="0.35">
      <c r="A71" t="s">
        <v>34</v>
      </c>
      <c r="B71">
        <v>2</v>
      </c>
      <c r="C71">
        <v>4.0949999999999998</v>
      </c>
      <c r="D71">
        <v>26</v>
      </c>
      <c r="E71">
        <v>25</v>
      </c>
      <c r="F71">
        <v>186</v>
      </c>
      <c r="G71">
        <v>186</v>
      </c>
      <c r="H71">
        <v>8505</v>
      </c>
      <c r="I71">
        <v>1494.76</v>
      </c>
      <c r="J71">
        <v>550</v>
      </c>
      <c r="K71">
        <v>2098.7058923060181</v>
      </c>
    </row>
    <row r="72" spans="1:11" x14ac:dyDescent="0.35">
      <c r="A72" t="s">
        <v>34</v>
      </c>
      <c r="B72">
        <v>3</v>
      </c>
      <c r="C72">
        <v>4.8710000000000004</v>
      </c>
      <c r="D72">
        <v>22</v>
      </c>
      <c r="E72">
        <v>21</v>
      </c>
      <c r="F72">
        <v>227</v>
      </c>
      <c r="G72">
        <v>227</v>
      </c>
      <c r="H72">
        <v>14416</v>
      </c>
      <c r="I72">
        <v>1777.8095238095239</v>
      </c>
      <c r="J72">
        <v>878</v>
      </c>
      <c r="K72">
        <v>2949.1263051484966</v>
      </c>
    </row>
    <row r="73" spans="1:11" x14ac:dyDescent="0.35">
      <c r="A73" t="s">
        <v>35</v>
      </c>
      <c r="B73">
        <v>1</v>
      </c>
      <c r="C73">
        <v>1.054</v>
      </c>
      <c r="D73">
        <v>57</v>
      </c>
      <c r="E73">
        <v>56</v>
      </c>
      <c r="F73">
        <v>183</v>
      </c>
      <c r="G73">
        <v>182</v>
      </c>
      <c r="H73">
        <v>2276</v>
      </c>
      <c r="I73">
        <v>384.625</v>
      </c>
      <c r="J73">
        <v>312</v>
      </c>
      <c r="K73">
        <v>318.53602411770368</v>
      </c>
    </row>
    <row r="74" spans="1:11" x14ac:dyDescent="0.35">
      <c r="A74" t="s">
        <v>35</v>
      </c>
      <c r="B74">
        <v>2</v>
      </c>
      <c r="C74">
        <v>2.6669999999999998</v>
      </c>
      <c r="D74">
        <v>39</v>
      </c>
      <c r="E74">
        <v>38</v>
      </c>
      <c r="F74">
        <v>189</v>
      </c>
      <c r="G74">
        <v>189</v>
      </c>
      <c r="H74">
        <v>17293</v>
      </c>
      <c r="I74">
        <v>973.4473684210526</v>
      </c>
      <c r="J74">
        <v>398</v>
      </c>
      <c r="K74">
        <v>2710.6265414530853</v>
      </c>
    </row>
    <row r="75" spans="1:11" x14ac:dyDescent="0.35">
      <c r="A75" t="s">
        <v>35</v>
      </c>
      <c r="B75">
        <v>3</v>
      </c>
    </row>
    <row r="76" spans="1:11" x14ac:dyDescent="0.35">
      <c r="A76" t="s">
        <v>36</v>
      </c>
      <c r="B76">
        <v>1</v>
      </c>
      <c r="C76">
        <v>0.97899999999999998</v>
      </c>
      <c r="D76">
        <v>53</v>
      </c>
      <c r="E76">
        <v>52</v>
      </c>
      <c r="F76">
        <v>229</v>
      </c>
      <c r="G76">
        <v>182</v>
      </c>
      <c r="H76">
        <v>1438</v>
      </c>
      <c r="I76">
        <v>357.38461538461536</v>
      </c>
      <c r="J76">
        <v>322</v>
      </c>
      <c r="K76">
        <v>192.85368645348274</v>
      </c>
    </row>
    <row r="77" spans="1:11" x14ac:dyDescent="0.35">
      <c r="A77" t="s">
        <v>36</v>
      </c>
      <c r="B77">
        <v>2</v>
      </c>
      <c r="C77">
        <v>1.008</v>
      </c>
      <c r="D77">
        <v>53</v>
      </c>
      <c r="E77">
        <v>52</v>
      </c>
      <c r="F77">
        <v>217</v>
      </c>
      <c r="G77">
        <v>183</v>
      </c>
      <c r="H77">
        <v>1285</v>
      </c>
      <c r="I77">
        <v>367.76923076923077</v>
      </c>
      <c r="J77">
        <v>298.5</v>
      </c>
      <c r="K77">
        <v>202.10285037618226</v>
      </c>
    </row>
    <row r="78" spans="1:11" x14ac:dyDescent="0.35">
      <c r="A78" t="s">
        <v>36</v>
      </c>
      <c r="B78">
        <v>3</v>
      </c>
      <c r="C78">
        <v>1.347</v>
      </c>
      <c r="D78">
        <v>39</v>
      </c>
      <c r="E78">
        <v>38</v>
      </c>
      <c r="F78">
        <v>360</v>
      </c>
      <c r="G78">
        <v>181</v>
      </c>
      <c r="H78">
        <v>2294</v>
      </c>
      <c r="I78">
        <v>491.57894736842104</v>
      </c>
      <c r="J78">
        <v>363</v>
      </c>
      <c r="K78">
        <v>385.79471167550582</v>
      </c>
    </row>
    <row r="79" spans="1:11" x14ac:dyDescent="0.35">
      <c r="A79" t="s">
        <v>37</v>
      </c>
      <c r="B79">
        <v>1</v>
      </c>
      <c r="C79">
        <v>1.819</v>
      </c>
      <c r="D79">
        <v>58</v>
      </c>
      <c r="E79">
        <v>57</v>
      </c>
      <c r="F79">
        <v>186</v>
      </c>
      <c r="G79">
        <v>186</v>
      </c>
      <c r="H79">
        <v>10513</v>
      </c>
      <c r="I79">
        <v>663.9473684210526</v>
      </c>
      <c r="J79">
        <v>355</v>
      </c>
      <c r="K79">
        <v>1406.1990503338213</v>
      </c>
    </row>
    <row r="80" spans="1:11" x14ac:dyDescent="0.35">
      <c r="A80" t="s">
        <v>37</v>
      </c>
      <c r="B80">
        <v>2</v>
      </c>
      <c r="C80">
        <v>4.2809999999999997</v>
      </c>
      <c r="D80">
        <v>13</v>
      </c>
      <c r="E80">
        <v>12</v>
      </c>
      <c r="F80">
        <v>293</v>
      </c>
      <c r="G80">
        <v>293</v>
      </c>
      <c r="H80">
        <v>4474</v>
      </c>
      <c r="I80">
        <v>1562.5833333333333</v>
      </c>
      <c r="J80">
        <v>1400</v>
      </c>
      <c r="K80">
        <v>1247.7636300152722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54B1-C2B8-4CC7-A905-6FD987B7C161}">
  <dimension ref="A1:F13"/>
  <sheetViews>
    <sheetView tabSelected="1" workbookViewId="0">
      <selection activeCell="G15" sqref="G15"/>
    </sheetView>
  </sheetViews>
  <sheetFormatPr defaultRowHeight="14.5" x14ac:dyDescent="0.35"/>
  <cols>
    <col min="1" max="1" width="16.36328125" customWidth="1"/>
  </cols>
  <sheetData>
    <row r="1" spans="1:6" x14ac:dyDescent="0.35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35">
      <c r="A2" t="s">
        <v>48</v>
      </c>
      <c r="B2" s="2">
        <f>ROUND(AVERAGE('statistics-M4'!I:I)/365,3)</f>
        <v>1.829</v>
      </c>
      <c r="C2" s="2">
        <f>ROUND(AVERAGE('statistics-M5'!I:I)/365,3)</f>
        <v>2.8740000000000001</v>
      </c>
      <c r="D2" s="2">
        <f>ROUND(AVERAGE('statistics-M6'!I:I)/365,3)</f>
        <v>7.7549999999999999</v>
      </c>
      <c r="E2" s="2">
        <f>ROUND(AVERAGE('statistics-M7'!I:I)/365,3)</f>
        <v>15.27</v>
      </c>
      <c r="F2" s="2">
        <f>ROUND(AVERAGE('statistics-M8'!I:I)/365,3)</f>
        <v>22.207999999999998</v>
      </c>
    </row>
    <row r="3" spans="1:6" x14ac:dyDescent="0.35">
      <c r="A3" t="s">
        <v>49</v>
      </c>
      <c r="B3" s="2">
        <f>ROUND(AVERAGE('statistics-M4'!F:F)/365,3)</f>
        <v>0.64900000000000002</v>
      </c>
      <c r="C3" s="2">
        <f>ROUND(AVERAGE('statistics-M5'!F:F)/365,3)</f>
        <v>0.70199999999999996</v>
      </c>
      <c r="D3" s="2">
        <f>ROUND(AVERAGE('statistics-M6'!F:F)/365,3)</f>
        <v>3.3220000000000001</v>
      </c>
      <c r="E3" s="2">
        <f>ROUND(AVERAGE('statistics-M7'!F:F)/365,3)</f>
        <v>7.3369999999999997</v>
      </c>
      <c r="F3" s="2">
        <f>ROUND(AVERAGE('statistics-M8'!F:F)/365,3)</f>
        <v>9.9629999999999992</v>
      </c>
    </row>
    <row r="4" spans="1:6" x14ac:dyDescent="0.35">
      <c r="A4" t="s">
        <v>50</v>
      </c>
      <c r="B4" s="2">
        <f>ROUND(AVERAGE('statistics-M4'!J:J)/365,3)</f>
        <v>1.093</v>
      </c>
      <c r="C4" s="2">
        <f>ROUND(AVERAGE('statistics-M5'!J:J)/365,3)</f>
        <v>1.84</v>
      </c>
      <c r="D4" s="2">
        <f>ROUND(AVERAGE('statistics-M6'!J:J)/365,3)</f>
        <v>6.4260000000000002</v>
      </c>
      <c r="E4" s="2">
        <f>ROUND(AVERAGE('statistics-M7'!J:J)/365,3)</f>
        <v>13.44</v>
      </c>
      <c r="F4" s="2">
        <f>ROUND(AVERAGE('statistics-M8'!J:J)/365,3)</f>
        <v>18.283999999999999</v>
      </c>
    </row>
    <row r="5" spans="1:6" x14ac:dyDescent="0.35">
      <c r="A5" t="s">
        <v>7</v>
      </c>
      <c r="B5" s="2">
        <f>ROUND(AVERAGE(NFFT_All!C:C),3)</f>
        <v>2.1080000000000001</v>
      </c>
      <c r="C5" s="2">
        <f>ROUND(AVERAGE(NFFT_All!D:D),3)</f>
        <v>2.484</v>
      </c>
      <c r="D5" s="2">
        <f>ROUND(AVERAGE(NFFT_All!E:E),3)</f>
        <v>3.15</v>
      </c>
      <c r="E5" s="2">
        <f>ROUND(AVERAGE(NFFT_All!F:F),3)</f>
        <v>4.2389999999999999</v>
      </c>
      <c r="F5" s="2" t="e">
        <f>ROUND(AVERAGE(NFFT_All!G:G),3)</f>
        <v>#DIV/0!</v>
      </c>
    </row>
    <row r="6" spans="1:6" x14ac:dyDescent="0.35">
      <c r="A6" t="s">
        <v>8</v>
      </c>
      <c r="B6" s="2">
        <f>ROUND(AVERAGE(LSP_All!C:C),3)</f>
        <v>2.7210000000000001</v>
      </c>
      <c r="C6" s="2">
        <f>ROUND(AVERAGE(LSP_All!D:D),3)</f>
        <v>2.7650000000000001</v>
      </c>
      <c r="D6" s="2">
        <f>ROUND(AVERAGE(LSP_All!E:E),3)</f>
        <v>4.9240000000000004</v>
      </c>
      <c r="E6" s="2">
        <f>ROUND(AVERAGE(LSP_All!F:F),3)</f>
        <v>5.3940000000000001</v>
      </c>
      <c r="F6" s="2">
        <f>ROUND(AVERAGE(LSP_All!G:G),3)</f>
        <v>15.069000000000001</v>
      </c>
    </row>
    <row r="7" spans="1:6" x14ac:dyDescent="0.35">
      <c r="A7" t="s">
        <v>59</v>
      </c>
      <c r="B7" t="s">
        <v>60</v>
      </c>
    </row>
    <row r="8" spans="1:6" x14ac:dyDescent="0.35">
      <c r="A8" t="s">
        <v>61</v>
      </c>
      <c r="B8" s="2">
        <f>NFFT_All!I70</f>
        <v>0.8</v>
      </c>
      <c r="C8" s="3">
        <f>NFFT_All!J70</f>
        <v>1.0649999999999999</v>
      </c>
      <c r="D8" s="3">
        <f>NFFT_All!K70</f>
        <v>1.1240000000000001</v>
      </c>
      <c r="E8" s="3">
        <f>NFFT_All!L70</f>
        <v>1.7549999999999999</v>
      </c>
      <c r="F8" s="2" t="e">
        <f>NFFT_All!M70</f>
        <v>#VALUE!</v>
      </c>
    </row>
    <row r="9" spans="1:6" x14ac:dyDescent="0.35">
      <c r="A9" t="s">
        <v>62</v>
      </c>
      <c r="B9" s="2">
        <f>NFFT_All!O70</f>
        <v>1.4770000000000001</v>
      </c>
      <c r="C9" s="3">
        <f>NFFT_All!P70</f>
        <v>1.849</v>
      </c>
      <c r="D9" s="3">
        <f>NFFT_All!Q70</f>
        <v>2.2690000000000001</v>
      </c>
      <c r="E9" s="3">
        <f>NFFT_All!R70</f>
        <v>3.3010000000000002</v>
      </c>
      <c r="F9" s="2" t="e">
        <f>NFFT_All!S70</f>
        <v>#VALUE!</v>
      </c>
    </row>
    <row r="10" spans="1:6" x14ac:dyDescent="0.35">
      <c r="A10" t="s">
        <v>63</v>
      </c>
      <c r="B10" s="2">
        <f>NFFT_All!U70</f>
        <v>1.1599999999999999</v>
      </c>
      <c r="C10" s="3">
        <f>NFFT_All!V70</f>
        <v>1.4450000000000001</v>
      </c>
      <c r="D10" s="3">
        <f>NFFT_All!W70</f>
        <v>1.4930000000000001</v>
      </c>
      <c r="E10" s="3">
        <f>NFFT_All!X70</f>
        <v>2.3109999999999999</v>
      </c>
      <c r="F10" s="2" t="e">
        <f>NFFT_All!Y70</f>
        <v>#VALUE!</v>
      </c>
    </row>
    <row r="11" spans="1:6" x14ac:dyDescent="0.35">
      <c r="A11" t="s">
        <v>64</v>
      </c>
      <c r="B11" s="2">
        <f>LSP_All!I70</f>
        <v>0.93</v>
      </c>
      <c r="C11" s="2">
        <f>LSP_All!J70</f>
        <v>0.81699999999999995</v>
      </c>
      <c r="D11" s="2">
        <f>LSP_All!K70</f>
        <v>1.819</v>
      </c>
      <c r="E11" s="2">
        <f>LSP_All!L70</f>
        <v>1.659</v>
      </c>
      <c r="F11" s="2">
        <f>LSP_All!M70</f>
        <v>4.0129999999999999</v>
      </c>
    </row>
    <row r="12" spans="1:6" x14ac:dyDescent="0.35">
      <c r="A12" t="s">
        <v>65</v>
      </c>
      <c r="B12" s="2">
        <f>LSP_All!O70</f>
        <v>2.0840000000000001</v>
      </c>
      <c r="C12" s="2">
        <f>LSP_All!P70</f>
        <v>2.133</v>
      </c>
      <c r="D12" s="2">
        <f>LSP_All!Q70</f>
        <v>4.1189999999999998</v>
      </c>
      <c r="E12" s="2">
        <f>LSP_All!R70</f>
        <v>4.4539999999999997</v>
      </c>
      <c r="F12" s="2">
        <f>LSP_All!S70</f>
        <v>13.726000000000001</v>
      </c>
    </row>
    <row r="13" spans="1:6" x14ac:dyDescent="0.35">
      <c r="A13" t="s">
        <v>66</v>
      </c>
      <c r="B13" s="2">
        <f>LSP_All!U70</f>
        <v>1.6519999999999999</v>
      </c>
      <c r="C13" s="2">
        <f>LSP_All!V70</f>
        <v>1.4890000000000001</v>
      </c>
      <c r="D13" s="2">
        <f>LSP_All!W70</f>
        <v>2.7040000000000002</v>
      </c>
      <c r="E13" s="2">
        <f>LSP_All!X70</f>
        <v>2.48</v>
      </c>
      <c r="F13" s="2">
        <f>LSP_All!Y70</f>
        <v>5.6689999999999996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F453-2FD6-4821-8BDA-9C6FCF561906}">
  <dimension ref="A1:K80"/>
  <sheetViews>
    <sheetView topLeftCell="A67" workbookViewId="0">
      <selection activeCell="F64" sqref="F64"/>
    </sheetView>
  </sheetViews>
  <sheetFormatPr defaultRowHeight="14.5" x14ac:dyDescent="0.35"/>
  <cols>
    <col min="1" max="1" width="16.6328125" bestFit="1" customWidth="1"/>
    <col min="2" max="2" width="11.26953125" bestFit="1" customWidth="1"/>
    <col min="3" max="3" width="10.54296875" bestFit="1" customWidth="1"/>
    <col min="4" max="4" width="18.7265625" bestFit="1" customWidth="1"/>
    <col min="5" max="5" width="11.90625" bestFit="1" customWidth="1"/>
    <col min="6" max="6" width="13.36328125" bestFit="1" customWidth="1"/>
    <col min="7" max="7" width="10.26953125" bestFit="1" customWidth="1"/>
    <col min="8" max="8" width="10.6328125" bestFit="1" customWidth="1"/>
    <col min="9" max="9" width="11.81640625" bestFit="1" customWidth="1"/>
    <col min="10" max="10" width="13.3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39</v>
      </c>
      <c r="H1" t="s">
        <v>40</v>
      </c>
      <c r="I1" t="s">
        <v>5</v>
      </c>
      <c r="J1" t="s">
        <v>6</v>
      </c>
      <c r="K1" t="s">
        <v>41</v>
      </c>
    </row>
    <row r="2" spans="1:11" x14ac:dyDescent="0.35">
      <c r="A2" t="s">
        <v>9</v>
      </c>
      <c r="B2">
        <v>1</v>
      </c>
      <c r="C2">
        <v>0.88300000000000001</v>
      </c>
      <c r="D2">
        <v>144</v>
      </c>
      <c r="E2">
        <v>143</v>
      </c>
      <c r="F2">
        <v>194</v>
      </c>
      <c r="G2">
        <v>185</v>
      </c>
      <c r="H2">
        <v>1218</v>
      </c>
      <c r="I2">
        <v>322.23776223776224</v>
      </c>
      <c r="J2">
        <v>296</v>
      </c>
      <c r="K2">
        <v>124.32463471810253</v>
      </c>
    </row>
    <row r="3" spans="1:11" x14ac:dyDescent="0.35">
      <c r="A3" t="s">
        <v>9</v>
      </c>
      <c r="B3">
        <v>2</v>
      </c>
      <c r="C3">
        <v>0.97</v>
      </c>
      <c r="D3">
        <v>130</v>
      </c>
      <c r="E3">
        <v>129</v>
      </c>
      <c r="F3">
        <v>198</v>
      </c>
      <c r="G3">
        <v>184</v>
      </c>
      <c r="H3">
        <v>1157</v>
      </c>
      <c r="I3">
        <v>353.99224806201551</v>
      </c>
      <c r="J3">
        <v>302</v>
      </c>
      <c r="K3">
        <v>172.08274988540981</v>
      </c>
    </row>
    <row r="4" spans="1:11" x14ac:dyDescent="0.35">
      <c r="A4" t="s">
        <v>9</v>
      </c>
      <c r="B4">
        <v>3</v>
      </c>
      <c r="C4">
        <v>6.3410000000000002</v>
      </c>
      <c r="D4">
        <v>16</v>
      </c>
      <c r="E4">
        <v>15</v>
      </c>
      <c r="F4">
        <v>190</v>
      </c>
      <c r="G4">
        <v>190</v>
      </c>
      <c r="H4">
        <v>12287</v>
      </c>
      <c r="I4">
        <v>2314.4</v>
      </c>
      <c r="J4">
        <v>1796</v>
      </c>
      <c r="K4">
        <v>2924.3878858090397</v>
      </c>
    </row>
    <row r="5" spans="1:11" x14ac:dyDescent="0.35">
      <c r="A5" t="s">
        <v>10</v>
      </c>
      <c r="B5">
        <v>1</v>
      </c>
      <c r="C5">
        <v>0.90400000000000003</v>
      </c>
      <c r="D5">
        <v>141</v>
      </c>
      <c r="E5">
        <v>140</v>
      </c>
      <c r="F5">
        <v>216</v>
      </c>
      <c r="G5">
        <v>182</v>
      </c>
      <c r="H5">
        <v>1579</v>
      </c>
      <c r="I5">
        <v>330.02857142857141</v>
      </c>
      <c r="J5">
        <v>286</v>
      </c>
      <c r="K5">
        <v>156.58292840979743</v>
      </c>
    </row>
    <row r="6" spans="1:11" x14ac:dyDescent="0.35">
      <c r="A6" t="s">
        <v>10</v>
      </c>
      <c r="B6">
        <v>2</v>
      </c>
      <c r="C6">
        <v>1.569</v>
      </c>
      <c r="D6">
        <v>47</v>
      </c>
      <c r="E6">
        <v>46</v>
      </c>
      <c r="F6">
        <v>207</v>
      </c>
      <c r="G6">
        <v>182</v>
      </c>
      <c r="H6">
        <v>3496</v>
      </c>
      <c r="I6">
        <v>572.73913043478262</v>
      </c>
      <c r="J6">
        <v>453</v>
      </c>
      <c r="K6">
        <v>525.8701044266337</v>
      </c>
    </row>
    <row r="7" spans="1:11" x14ac:dyDescent="0.35">
      <c r="A7" t="s">
        <v>10</v>
      </c>
      <c r="B7">
        <v>3</v>
      </c>
      <c r="C7">
        <v>3.2730000000000001</v>
      </c>
      <c r="D7">
        <v>33</v>
      </c>
      <c r="E7">
        <v>32</v>
      </c>
      <c r="F7">
        <v>420</v>
      </c>
      <c r="G7">
        <v>196</v>
      </c>
      <c r="H7">
        <v>15863</v>
      </c>
      <c r="I7">
        <v>1194.6875</v>
      </c>
      <c r="J7">
        <v>542</v>
      </c>
      <c r="K7">
        <v>2706.9537241784815</v>
      </c>
    </row>
    <row r="8" spans="1:11" x14ac:dyDescent="0.35">
      <c r="A8" t="s">
        <v>11</v>
      </c>
      <c r="B8">
        <v>1</v>
      </c>
      <c r="C8">
        <v>0.86499999999999999</v>
      </c>
      <c r="D8">
        <v>145</v>
      </c>
      <c r="E8">
        <v>144</v>
      </c>
      <c r="F8">
        <v>183</v>
      </c>
      <c r="G8">
        <v>181</v>
      </c>
      <c r="H8">
        <v>1016</v>
      </c>
      <c r="I8">
        <v>315.73611111111109</v>
      </c>
      <c r="J8">
        <v>272.5</v>
      </c>
      <c r="K8">
        <v>136.21199705030426</v>
      </c>
    </row>
    <row r="9" spans="1:11" x14ac:dyDescent="0.35">
      <c r="A9" t="s">
        <v>11</v>
      </c>
      <c r="B9">
        <v>2</v>
      </c>
      <c r="C9">
        <v>3.9790000000000001</v>
      </c>
      <c r="D9">
        <v>6</v>
      </c>
      <c r="E9">
        <v>5</v>
      </c>
      <c r="F9">
        <v>512</v>
      </c>
      <c r="G9">
        <v>512</v>
      </c>
      <c r="H9">
        <v>2742</v>
      </c>
      <c r="I9">
        <v>1452.4</v>
      </c>
      <c r="J9">
        <v>911</v>
      </c>
      <c r="K9">
        <v>922.87260225883824</v>
      </c>
    </row>
    <row r="10" spans="1:11" x14ac:dyDescent="0.35">
      <c r="A10" t="s">
        <v>11</v>
      </c>
      <c r="B10">
        <v>3</v>
      </c>
    </row>
    <row r="11" spans="1:11" x14ac:dyDescent="0.35">
      <c r="A11" t="s">
        <v>12</v>
      </c>
      <c r="B11">
        <v>1</v>
      </c>
      <c r="C11">
        <v>0.95599999999999996</v>
      </c>
      <c r="D11">
        <v>130</v>
      </c>
      <c r="E11">
        <v>129</v>
      </c>
      <c r="F11">
        <v>222</v>
      </c>
      <c r="G11">
        <v>182</v>
      </c>
      <c r="H11">
        <v>1204</v>
      </c>
      <c r="I11">
        <v>348.87596899224809</v>
      </c>
      <c r="J11">
        <v>316</v>
      </c>
      <c r="K11">
        <v>157.50171687273604</v>
      </c>
    </row>
    <row r="12" spans="1:11" x14ac:dyDescent="0.35">
      <c r="A12" t="s">
        <v>12</v>
      </c>
      <c r="B12">
        <v>2</v>
      </c>
    </row>
    <row r="13" spans="1:11" x14ac:dyDescent="0.35">
      <c r="A13" t="s">
        <v>12</v>
      </c>
      <c r="B13">
        <v>3</v>
      </c>
    </row>
    <row r="14" spans="1:11" x14ac:dyDescent="0.35">
      <c r="A14" t="s">
        <v>13</v>
      </c>
      <c r="B14">
        <v>1</v>
      </c>
      <c r="C14">
        <v>0.89600000000000002</v>
      </c>
      <c r="D14">
        <v>141</v>
      </c>
      <c r="E14">
        <v>140</v>
      </c>
      <c r="F14">
        <v>181</v>
      </c>
      <c r="G14">
        <v>181</v>
      </c>
      <c r="H14">
        <v>759</v>
      </c>
      <c r="I14">
        <v>327.15714285714284</v>
      </c>
      <c r="J14">
        <v>307.5</v>
      </c>
      <c r="K14">
        <v>115.09314683759234</v>
      </c>
    </row>
    <row r="15" spans="1:11" x14ac:dyDescent="0.35">
      <c r="A15" t="s">
        <v>13</v>
      </c>
      <c r="B15">
        <v>2</v>
      </c>
      <c r="C15">
        <v>1.0109999999999999</v>
      </c>
      <c r="D15">
        <v>125</v>
      </c>
      <c r="E15">
        <v>124</v>
      </c>
      <c r="F15">
        <v>183</v>
      </c>
      <c r="G15">
        <v>182</v>
      </c>
      <c r="H15">
        <v>1405</v>
      </c>
      <c r="I15">
        <v>368.93548387096774</v>
      </c>
      <c r="J15">
        <v>309</v>
      </c>
      <c r="K15">
        <v>208.11681513249931</v>
      </c>
    </row>
    <row r="16" spans="1:11" x14ac:dyDescent="0.35">
      <c r="A16" t="s">
        <v>13</v>
      </c>
      <c r="B16">
        <v>3</v>
      </c>
      <c r="C16">
        <v>1.6819999999999999</v>
      </c>
      <c r="D16">
        <v>74</v>
      </c>
      <c r="E16">
        <v>73</v>
      </c>
      <c r="F16">
        <v>234</v>
      </c>
      <c r="G16">
        <v>199</v>
      </c>
      <c r="H16">
        <v>1919</v>
      </c>
      <c r="I16">
        <v>613.98630136986299</v>
      </c>
      <c r="J16">
        <v>519</v>
      </c>
      <c r="K16">
        <v>370.45723296513341</v>
      </c>
    </row>
    <row r="17" spans="1:11" x14ac:dyDescent="0.35">
      <c r="A17" t="s">
        <v>14</v>
      </c>
      <c r="B17">
        <v>1</v>
      </c>
      <c r="C17">
        <v>1</v>
      </c>
      <c r="D17">
        <v>127</v>
      </c>
      <c r="E17">
        <v>126</v>
      </c>
      <c r="F17">
        <v>187</v>
      </c>
      <c r="G17">
        <v>185</v>
      </c>
      <c r="H17">
        <v>1181</v>
      </c>
      <c r="I17">
        <v>365.10317460317458</v>
      </c>
      <c r="J17">
        <v>334.5</v>
      </c>
      <c r="K17">
        <v>168.73186342820267</v>
      </c>
    </row>
    <row r="18" spans="1:11" x14ac:dyDescent="0.35">
      <c r="A18" t="s">
        <v>14</v>
      </c>
      <c r="B18">
        <v>2</v>
      </c>
      <c r="C18">
        <v>1.1240000000000001</v>
      </c>
      <c r="D18">
        <v>111</v>
      </c>
      <c r="E18">
        <v>110</v>
      </c>
      <c r="F18">
        <v>194</v>
      </c>
      <c r="G18">
        <v>184</v>
      </c>
      <c r="H18">
        <v>2958</v>
      </c>
      <c r="I18">
        <v>410.23636363636365</v>
      </c>
      <c r="J18">
        <v>316.5</v>
      </c>
      <c r="K18">
        <v>333.27913300395477</v>
      </c>
    </row>
    <row r="19" spans="1:11" x14ac:dyDescent="0.35">
      <c r="A19" t="s">
        <v>14</v>
      </c>
      <c r="B19">
        <v>3</v>
      </c>
      <c r="C19">
        <v>1.9950000000000001</v>
      </c>
      <c r="D19">
        <v>50</v>
      </c>
      <c r="E19">
        <v>49</v>
      </c>
      <c r="F19">
        <v>223</v>
      </c>
      <c r="G19">
        <v>188</v>
      </c>
      <c r="H19">
        <v>6001</v>
      </c>
      <c r="I19">
        <v>728</v>
      </c>
      <c r="J19">
        <v>417</v>
      </c>
      <c r="K19">
        <v>935.50824340001827</v>
      </c>
    </row>
    <row r="20" spans="1:11" x14ac:dyDescent="0.35">
      <c r="A20" t="s">
        <v>15</v>
      </c>
      <c r="B20">
        <v>1</v>
      </c>
      <c r="C20">
        <v>1.252</v>
      </c>
      <c r="D20">
        <v>92</v>
      </c>
      <c r="E20">
        <v>91</v>
      </c>
      <c r="F20">
        <v>306</v>
      </c>
      <c r="G20">
        <v>193</v>
      </c>
      <c r="H20">
        <v>1941</v>
      </c>
      <c r="I20">
        <v>457</v>
      </c>
      <c r="J20">
        <v>355</v>
      </c>
      <c r="K20">
        <v>290.40960084634992</v>
      </c>
    </row>
    <row r="21" spans="1:11" x14ac:dyDescent="0.35">
      <c r="A21" t="s">
        <v>15</v>
      </c>
      <c r="B21">
        <v>2</v>
      </c>
      <c r="C21">
        <v>4.5650000000000004</v>
      </c>
      <c r="D21">
        <v>18</v>
      </c>
      <c r="E21">
        <v>17</v>
      </c>
      <c r="F21">
        <v>239</v>
      </c>
      <c r="G21">
        <v>239</v>
      </c>
      <c r="H21">
        <v>6387</v>
      </c>
      <c r="I21">
        <v>1666.1176470588234</v>
      </c>
      <c r="J21">
        <v>1064</v>
      </c>
      <c r="K21">
        <v>1667.038934664869</v>
      </c>
    </row>
    <row r="22" spans="1:11" x14ac:dyDescent="0.35">
      <c r="A22" t="s">
        <v>15</v>
      </c>
      <c r="B22">
        <v>3</v>
      </c>
      <c r="C22">
        <v>1.4890000000000001</v>
      </c>
      <c r="D22">
        <v>4</v>
      </c>
      <c r="E22">
        <v>3</v>
      </c>
      <c r="F22">
        <v>272</v>
      </c>
      <c r="G22">
        <v>272</v>
      </c>
      <c r="H22">
        <v>823</v>
      </c>
      <c r="I22">
        <v>543.33333333333337</v>
      </c>
      <c r="J22">
        <v>535</v>
      </c>
      <c r="K22">
        <v>225.02197423560412</v>
      </c>
    </row>
    <row r="23" spans="1:11" x14ac:dyDescent="0.35">
      <c r="A23" t="s">
        <v>16</v>
      </c>
      <c r="B23">
        <v>1</v>
      </c>
      <c r="C23">
        <v>1.2549999999999999</v>
      </c>
      <c r="D23">
        <v>100</v>
      </c>
      <c r="E23">
        <v>99</v>
      </c>
      <c r="F23">
        <v>184</v>
      </c>
      <c r="G23">
        <v>184</v>
      </c>
      <c r="H23">
        <v>3777</v>
      </c>
      <c r="I23">
        <v>458.13131313131311</v>
      </c>
      <c r="J23">
        <v>325</v>
      </c>
      <c r="K23">
        <v>468.45763790810076</v>
      </c>
    </row>
    <row r="24" spans="1:11" x14ac:dyDescent="0.35">
      <c r="A24" t="s">
        <v>16</v>
      </c>
      <c r="B24">
        <v>2</v>
      </c>
      <c r="C24">
        <v>16.263000000000002</v>
      </c>
      <c r="D24">
        <v>8</v>
      </c>
      <c r="E24">
        <v>7</v>
      </c>
      <c r="F24">
        <v>304</v>
      </c>
      <c r="G24">
        <v>304</v>
      </c>
      <c r="H24">
        <v>23247</v>
      </c>
      <c r="I24">
        <v>5936</v>
      </c>
      <c r="J24">
        <v>3837</v>
      </c>
      <c r="K24">
        <v>7380.3044652642884</v>
      </c>
    </row>
    <row r="25" spans="1:11" x14ac:dyDescent="0.35">
      <c r="A25" t="s">
        <v>16</v>
      </c>
      <c r="B25">
        <v>3</v>
      </c>
    </row>
    <row r="26" spans="1:11" x14ac:dyDescent="0.35">
      <c r="A26" t="s">
        <v>17</v>
      </c>
      <c r="B26">
        <v>1</v>
      </c>
      <c r="C26">
        <v>0.84099999999999997</v>
      </c>
      <c r="D26">
        <v>150</v>
      </c>
      <c r="E26">
        <v>149</v>
      </c>
      <c r="F26">
        <v>187</v>
      </c>
      <c r="G26">
        <v>181</v>
      </c>
      <c r="H26">
        <v>1177</v>
      </c>
      <c r="I26">
        <v>306.91946308724835</v>
      </c>
      <c r="J26">
        <v>277</v>
      </c>
      <c r="K26">
        <v>124.62666486086594</v>
      </c>
    </row>
    <row r="27" spans="1:11" x14ac:dyDescent="0.35">
      <c r="A27" t="s">
        <v>17</v>
      </c>
      <c r="B27">
        <v>2</v>
      </c>
      <c r="C27">
        <v>1.9390000000000001</v>
      </c>
      <c r="D27">
        <v>66</v>
      </c>
      <c r="E27">
        <v>65</v>
      </c>
      <c r="F27">
        <v>187</v>
      </c>
      <c r="G27">
        <v>187</v>
      </c>
      <c r="H27">
        <v>14055</v>
      </c>
      <c r="I27">
        <v>707.72307692307697</v>
      </c>
      <c r="J27">
        <v>293</v>
      </c>
      <c r="K27">
        <v>1843.4237920672945</v>
      </c>
    </row>
    <row r="28" spans="1:11" x14ac:dyDescent="0.35">
      <c r="A28" t="s">
        <v>17</v>
      </c>
      <c r="B28">
        <v>3</v>
      </c>
      <c r="C28">
        <v>3.2330000000000001</v>
      </c>
      <c r="D28">
        <v>38</v>
      </c>
      <c r="E28">
        <v>37</v>
      </c>
      <c r="F28">
        <v>192</v>
      </c>
      <c r="G28">
        <v>192</v>
      </c>
      <c r="H28">
        <v>20752</v>
      </c>
      <c r="I28">
        <v>1180.1351351351352</v>
      </c>
      <c r="J28">
        <v>464</v>
      </c>
      <c r="K28">
        <v>3289.0016735729278</v>
      </c>
    </row>
    <row r="29" spans="1:11" x14ac:dyDescent="0.35">
      <c r="A29" t="s">
        <v>18</v>
      </c>
      <c r="B29">
        <v>1</v>
      </c>
      <c r="C29">
        <v>1.2210000000000001</v>
      </c>
      <c r="D29">
        <v>102</v>
      </c>
      <c r="E29">
        <v>101</v>
      </c>
      <c r="F29">
        <v>193</v>
      </c>
      <c r="G29">
        <v>181</v>
      </c>
      <c r="H29">
        <v>4597</v>
      </c>
      <c r="I29">
        <v>445.84158415841586</v>
      </c>
      <c r="J29">
        <v>323</v>
      </c>
      <c r="K29">
        <v>488.01949183344277</v>
      </c>
    </row>
    <row r="30" spans="1:11" x14ac:dyDescent="0.35">
      <c r="A30" t="s">
        <v>18</v>
      </c>
      <c r="B30">
        <v>2</v>
      </c>
      <c r="C30">
        <v>1.627</v>
      </c>
      <c r="D30">
        <v>68</v>
      </c>
      <c r="E30">
        <v>67</v>
      </c>
      <c r="F30">
        <v>231</v>
      </c>
      <c r="G30">
        <v>181</v>
      </c>
      <c r="H30">
        <v>5870</v>
      </c>
      <c r="I30">
        <v>593.83582089552237</v>
      </c>
      <c r="J30">
        <v>352</v>
      </c>
      <c r="K30">
        <v>810.67039876467766</v>
      </c>
    </row>
    <row r="31" spans="1:11" x14ac:dyDescent="0.35">
      <c r="A31" t="s">
        <v>18</v>
      </c>
      <c r="B31">
        <v>3</v>
      </c>
      <c r="C31">
        <v>1.659</v>
      </c>
      <c r="D31">
        <v>62</v>
      </c>
      <c r="E31">
        <v>61</v>
      </c>
      <c r="F31">
        <v>181</v>
      </c>
      <c r="G31">
        <v>181</v>
      </c>
      <c r="H31">
        <v>5499</v>
      </c>
      <c r="I31">
        <v>605.47540983606552</v>
      </c>
      <c r="J31">
        <v>380</v>
      </c>
      <c r="K31">
        <v>753.36951520784544</v>
      </c>
    </row>
    <row r="32" spans="1:11" x14ac:dyDescent="0.35">
      <c r="A32" t="s">
        <v>19</v>
      </c>
      <c r="B32">
        <v>1</v>
      </c>
      <c r="C32">
        <v>1.1879999999999999</v>
      </c>
      <c r="D32">
        <v>102</v>
      </c>
      <c r="E32">
        <v>101</v>
      </c>
      <c r="F32">
        <v>194</v>
      </c>
      <c r="G32">
        <v>184</v>
      </c>
      <c r="H32">
        <v>3045</v>
      </c>
      <c r="I32">
        <v>433.67326732673268</v>
      </c>
      <c r="J32">
        <v>327</v>
      </c>
      <c r="K32">
        <v>383.39510186861986</v>
      </c>
    </row>
    <row r="33" spans="1:11" x14ac:dyDescent="0.35">
      <c r="A33" t="s">
        <v>19</v>
      </c>
      <c r="B33">
        <v>2</v>
      </c>
      <c r="C33">
        <v>1.1679999999999999</v>
      </c>
      <c r="D33">
        <v>103</v>
      </c>
      <c r="E33">
        <v>102</v>
      </c>
      <c r="F33">
        <v>189</v>
      </c>
      <c r="G33">
        <v>188</v>
      </c>
      <c r="H33">
        <v>3315</v>
      </c>
      <c r="I33">
        <v>426.26470588235293</v>
      </c>
      <c r="J33">
        <v>318.5</v>
      </c>
      <c r="K33">
        <v>405.92762144545486</v>
      </c>
    </row>
    <row r="34" spans="1:11" x14ac:dyDescent="0.35">
      <c r="A34" t="s">
        <v>19</v>
      </c>
      <c r="B34">
        <v>3</v>
      </c>
      <c r="C34">
        <v>1.575</v>
      </c>
      <c r="D34">
        <v>78</v>
      </c>
      <c r="E34">
        <v>77</v>
      </c>
      <c r="F34">
        <v>205</v>
      </c>
      <c r="G34">
        <v>188</v>
      </c>
      <c r="H34">
        <v>5211</v>
      </c>
      <c r="I34">
        <v>574.76623376623377</v>
      </c>
      <c r="J34">
        <v>344</v>
      </c>
      <c r="K34">
        <v>762.82659424394444</v>
      </c>
    </row>
    <row r="35" spans="1:11" x14ac:dyDescent="0.35">
      <c r="A35" t="s">
        <v>20</v>
      </c>
      <c r="B35">
        <v>1</v>
      </c>
      <c r="C35">
        <v>1.0620000000000001</v>
      </c>
      <c r="D35">
        <v>115</v>
      </c>
      <c r="E35">
        <v>114</v>
      </c>
      <c r="F35">
        <v>246</v>
      </c>
      <c r="G35">
        <v>181</v>
      </c>
      <c r="H35">
        <v>2260</v>
      </c>
      <c r="I35">
        <v>387.79824561403507</v>
      </c>
      <c r="J35">
        <v>303</v>
      </c>
      <c r="K35">
        <v>310.34333505161214</v>
      </c>
    </row>
    <row r="36" spans="1:11" x14ac:dyDescent="0.35">
      <c r="A36" t="s">
        <v>20</v>
      </c>
      <c r="B36">
        <v>2</v>
      </c>
      <c r="C36">
        <v>1.853</v>
      </c>
      <c r="D36">
        <v>56</v>
      </c>
      <c r="E36">
        <v>55</v>
      </c>
      <c r="F36">
        <v>385</v>
      </c>
      <c r="G36">
        <v>187</v>
      </c>
      <c r="H36">
        <v>4817</v>
      </c>
      <c r="I36">
        <v>676.29090909090905</v>
      </c>
      <c r="J36">
        <v>442</v>
      </c>
      <c r="K36">
        <v>825.71332627618551</v>
      </c>
    </row>
    <row r="37" spans="1:11" x14ac:dyDescent="0.35">
      <c r="A37" t="s">
        <v>20</v>
      </c>
      <c r="B37">
        <v>3</v>
      </c>
      <c r="C37">
        <v>2.85</v>
      </c>
      <c r="D37">
        <v>41</v>
      </c>
      <c r="E37">
        <v>40</v>
      </c>
      <c r="F37">
        <v>399</v>
      </c>
      <c r="G37">
        <v>190</v>
      </c>
      <c r="H37">
        <v>4420</v>
      </c>
      <c r="I37">
        <v>1040.3499999999999</v>
      </c>
      <c r="J37">
        <v>618</v>
      </c>
      <c r="K37">
        <v>1050.9097618254386</v>
      </c>
    </row>
    <row r="38" spans="1:11" x14ac:dyDescent="0.35">
      <c r="A38" t="s">
        <v>21</v>
      </c>
      <c r="B38">
        <v>1</v>
      </c>
      <c r="C38">
        <v>1.2330000000000001</v>
      </c>
      <c r="D38">
        <v>102</v>
      </c>
      <c r="E38">
        <v>101</v>
      </c>
      <c r="F38">
        <v>211</v>
      </c>
      <c r="G38">
        <v>182</v>
      </c>
      <c r="H38">
        <v>3866</v>
      </c>
      <c r="I38">
        <v>450.0990099009901</v>
      </c>
      <c r="J38">
        <v>331</v>
      </c>
      <c r="K38">
        <v>455.08729452994402</v>
      </c>
    </row>
    <row r="39" spans="1:11" x14ac:dyDescent="0.35">
      <c r="A39" t="s">
        <v>21</v>
      </c>
      <c r="B39">
        <v>2</v>
      </c>
    </row>
    <row r="40" spans="1:11" x14ac:dyDescent="0.35">
      <c r="A40" t="s">
        <v>21</v>
      </c>
      <c r="B40">
        <v>3</v>
      </c>
    </row>
    <row r="41" spans="1:11" x14ac:dyDescent="0.35">
      <c r="A41" t="s">
        <v>22</v>
      </c>
      <c r="B41">
        <v>1</v>
      </c>
      <c r="C41">
        <v>1.409</v>
      </c>
      <c r="D41">
        <v>90</v>
      </c>
      <c r="E41">
        <v>89</v>
      </c>
      <c r="F41">
        <v>203</v>
      </c>
      <c r="G41">
        <v>184</v>
      </c>
      <c r="H41">
        <v>4450</v>
      </c>
      <c r="I41">
        <v>514.28089887640454</v>
      </c>
      <c r="J41">
        <v>337</v>
      </c>
      <c r="K41">
        <v>569.51992376714213</v>
      </c>
    </row>
    <row r="42" spans="1:11" x14ac:dyDescent="0.35">
      <c r="A42" t="s">
        <v>23</v>
      </c>
      <c r="B42">
        <v>1</v>
      </c>
      <c r="C42">
        <v>1.2929999999999999</v>
      </c>
      <c r="D42">
        <v>98</v>
      </c>
      <c r="E42">
        <v>97</v>
      </c>
      <c r="F42">
        <v>183</v>
      </c>
      <c r="G42">
        <v>183</v>
      </c>
      <c r="H42">
        <v>3304</v>
      </c>
      <c r="I42">
        <v>471.94845360824741</v>
      </c>
      <c r="J42">
        <v>346</v>
      </c>
      <c r="K42">
        <v>446.24865638156376</v>
      </c>
    </row>
    <row r="43" spans="1:11" x14ac:dyDescent="0.35">
      <c r="A43" t="s">
        <v>23</v>
      </c>
      <c r="B43">
        <v>2</v>
      </c>
    </row>
    <row r="44" spans="1:11" x14ac:dyDescent="0.35">
      <c r="A44" t="s">
        <v>24</v>
      </c>
      <c r="B44">
        <v>1</v>
      </c>
      <c r="C44">
        <v>1.5469999999999999</v>
      </c>
      <c r="D44">
        <v>73</v>
      </c>
      <c r="E44">
        <v>72</v>
      </c>
      <c r="F44">
        <v>286</v>
      </c>
      <c r="G44">
        <v>184</v>
      </c>
      <c r="H44">
        <v>8071</v>
      </c>
      <c r="I44">
        <v>564.70833333333337</v>
      </c>
      <c r="J44">
        <v>325.5</v>
      </c>
      <c r="K44">
        <v>965.0547543116113</v>
      </c>
    </row>
    <row r="45" spans="1:11" x14ac:dyDescent="0.35">
      <c r="A45" t="s">
        <v>24</v>
      </c>
      <c r="B45">
        <v>2</v>
      </c>
      <c r="C45">
        <v>9.6300000000000008</v>
      </c>
      <c r="D45">
        <v>3</v>
      </c>
      <c r="E45">
        <v>2</v>
      </c>
      <c r="F45">
        <v>472</v>
      </c>
      <c r="G45">
        <v>472</v>
      </c>
      <c r="H45">
        <v>6558</v>
      </c>
      <c r="I45">
        <v>3515</v>
      </c>
      <c r="J45">
        <v>3515</v>
      </c>
      <c r="K45">
        <v>3043</v>
      </c>
    </row>
    <row r="46" spans="1:11" x14ac:dyDescent="0.35">
      <c r="A46" t="s">
        <v>25</v>
      </c>
      <c r="B46">
        <v>1</v>
      </c>
      <c r="C46">
        <v>0.94799999999999995</v>
      </c>
      <c r="D46">
        <v>130</v>
      </c>
      <c r="E46">
        <v>129</v>
      </c>
      <c r="F46">
        <v>309</v>
      </c>
      <c r="G46">
        <v>187</v>
      </c>
      <c r="H46">
        <v>1112</v>
      </c>
      <c r="I46">
        <v>345.94573643410854</v>
      </c>
      <c r="J46">
        <v>309</v>
      </c>
      <c r="K46">
        <v>152.29516985410856</v>
      </c>
    </row>
    <row r="47" spans="1:11" x14ac:dyDescent="0.35">
      <c r="A47" t="s">
        <v>25</v>
      </c>
      <c r="B47">
        <v>2</v>
      </c>
      <c r="C47">
        <v>1.161</v>
      </c>
      <c r="D47">
        <v>80</v>
      </c>
      <c r="E47">
        <v>79</v>
      </c>
      <c r="F47">
        <v>195</v>
      </c>
      <c r="G47">
        <v>183</v>
      </c>
      <c r="H47">
        <v>2761</v>
      </c>
      <c r="I47">
        <v>423.88607594936707</v>
      </c>
      <c r="J47">
        <v>301</v>
      </c>
      <c r="K47">
        <v>425.3305784273702</v>
      </c>
    </row>
    <row r="48" spans="1:11" x14ac:dyDescent="0.35">
      <c r="A48" t="s">
        <v>25</v>
      </c>
      <c r="B48">
        <v>3</v>
      </c>
      <c r="C48">
        <v>1.488</v>
      </c>
      <c r="D48">
        <v>68</v>
      </c>
      <c r="E48">
        <v>67</v>
      </c>
      <c r="F48">
        <v>242</v>
      </c>
      <c r="G48">
        <v>183</v>
      </c>
      <c r="H48">
        <v>13608</v>
      </c>
      <c r="I48">
        <v>543.20895522388059</v>
      </c>
      <c r="J48">
        <v>292</v>
      </c>
      <c r="K48">
        <v>1629.695315698415</v>
      </c>
    </row>
    <row r="49" spans="1:11" x14ac:dyDescent="0.35">
      <c r="A49" t="s">
        <v>26</v>
      </c>
      <c r="B49">
        <v>1</v>
      </c>
      <c r="C49">
        <v>1.375</v>
      </c>
      <c r="D49">
        <v>78</v>
      </c>
      <c r="E49">
        <v>77</v>
      </c>
      <c r="F49">
        <v>288</v>
      </c>
      <c r="G49">
        <v>181</v>
      </c>
      <c r="H49">
        <v>7639</v>
      </c>
      <c r="I49">
        <v>502.03896103896102</v>
      </c>
      <c r="J49">
        <v>312</v>
      </c>
      <c r="K49">
        <v>974.24760768474061</v>
      </c>
    </row>
    <row r="50" spans="1:11" x14ac:dyDescent="0.35">
      <c r="A50" t="s">
        <v>26</v>
      </c>
      <c r="B50">
        <v>2</v>
      </c>
      <c r="C50">
        <v>1.4419999999999999</v>
      </c>
      <c r="D50">
        <v>70</v>
      </c>
      <c r="E50">
        <v>69</v>
      </c>
      <c r="F50">
        <v>198</v>
      </c>
      <c r="G50">
        <v>198</v>
      </c>
      <c r="H50">
        <v>14530</v>
      </c>
      <c r="I50">
        <v>526.15942028985512</v>
      </c>
      <c r="J50">
        <v>301</v>
      </c>
      <c r="K50">
        <v>1702.1230274783686</v>
      </c>
    </row>
    <row r="51" spans="1:11" x14ac:dyDescent="0.35">
      <c r="A51" t="s">
        <v>26</v>
      </c>
      <c r="B51">
        <v>3</v>
      </c>
      <c r="C51">
        <v>2.3039999999999998</v>
      </c>
      <c r="D51">
        <v>50</v>
      </c>
      <c r="E51">
        <v>49</v>
      </c>
      <c r="F51">
        <v>233</v>
      </c>
      <c r="G51">
        <v>182</v>
      </c>
      <c r="H51">
        <v>12472</v>
      </c>
      <c r="I51">
        <v>840.9591836734694</v>
      </c>
      <c r="J51">
        <v>432</v>
      </c>
      <c r="K51">
        <v>1793.6155704778434</v>
      </c>
    </row>
    <row r="52" spans="1:11" x14ac:dyDescent="0.35">
      <c r="A52" t="s">
        <v>27</v>
      </c>
      <c r="B52">
        <v>1</v>
      </c>
      <c r="C52">
        <v>1.0649999999999999</v>
      </c>
      <c r="D52">
        <v>113</v>
      </c>
      <c r="E52">
        <v>112</v>
      </c>
      <c r="F52">
        <v>230</v>
      </c>
      <c r="G52">
        <v>184</v>
      </c>
      <c r="H52">
        <v>2126</v>
      </c>
      <c r="I52">
        <v>388.89285714285717</v>
      </c>
      <c r="J52">
        <v>332.5</v>
      </c>
      <c r="K52">
        <v>247.91071107006513</v>
      </c>
    </row>
    <row r="53" spans="1:11" x14ac:dyDescent="0.35">
      <c r="A53" t="s">
        <v>27</v>
      </c>
      <c r="B53">
        <v>2</v>
      </c>
      <c r="C53">
        <v>5.0679999999999996</v>
      </c>
      <c r="D53">
        <v>9</v>
      </c>
      <c r="E53">
        <v>8</v>
      </c>
      <c r="F53">
        <v>280</v>
      </c>
      <c r="G53">
        <v>280</v>
      </c>
      <c r="H53">
        <v>8752</v>
      </c>
      <c r="I53">
        <v>1850</v>
      </c>
      <c r="J53">
        <v>978.5</v>
      </c>
      <c r="K53">
        <v>2642.021337915347</v>
      </c>
    </row>
    <row r="54" spans="1:11" x14ac:dyDescent="0.35">
      <c r="A54" t="s">
        <v>27</v>
      </c>
      <c r="B54">
        <v>3</v>
      </c>
      <c r="C54">
        <v>13.43</v>
      </c>
      <c r="D54">
        <v>8</v>
      </c>
      <c r="E54">
        <v>7</v>
      </c>
      <c r="F54">
        <v>598</v>
      </c>
      <c r="G54">
        <v>598</v>
      </c>
      <c r="H54">
        <v>18438</v>
      </c>
      <c r="I54">
        <v>4901.8571428571431</v>
      </c>
      <c r="J54">
        <v>2554</v>
      </c>
      <c r="K54">
        <v>5772.180212724068</v>
      </c>
    </row>
    <row r="55" spans="1:11" x14ac:dyDescent="0.35">
      <c r="A55" t="s">
        <v>28</v>
      </c>
      <c r="B55">
        <v>1</v>
      </c>
      <c r="C55">
        <v>1.52</v>
      </c>
      <c r="D55">
        <v>79</v>
      </c>
      <c r="E55">
        <v>78</v>
      </c>
      <c r="F55">
        <v>334</v>
      </c>
      <c r="G55">
        <v>186</v>
      </c>
      <c r="H55">
        <v>5447</v>
      </c>
      <c r="I55">
        <v>554.97435897435901</v>
      </c>
      <c r="J55">
        <v>338</v>
      </c>
      <c r="K55">
        <v>747.68838590649568</v>
      </c>
    </row>
    <row r="56" spans="1:11" x14ac:dyDescent="0.35">
      <c r="A56" t="s">
        <v>28</v>
      </c>
      <c r="B56">
        <v>2</v>
      </c>
      <c r="C56">
        <v>3.8519999999999999</v>
      </c>
      <c r="D56">
        <v>29</v>
      </c>
      <c r="E56">
        <v>28</v>
      </c>
      <c r="F56">
        <v>229</v>
      </c>
      <c r="G56">
        <v>229</v>
      </c>
      <c r="H56">
        <v>12632</v>
      </c>
      <c r="I56">
        <v>1405.8214285714287</v>
      </c>
      <c r="J56">
        <v>909.5</v>
      </c>
      <c r="K56">
        <v>2253.0398838263482</v>
      </c>
    </row>
    <row r="57" spans="1:11" x14ac:dyDescent="0.35">
      <c r="A57" t="s">
        <v>28</v>
      </c>
      <c r="B57">
        <v>3</v>
      </c>
      <c r="C57">
        <v>14.641</v>
      </c>
      <c r="D57">
        <v>4</v>
      </c>
      <c r="E57">
        <v>3</v>
      </c>
      <c r="F57">
        <v>274</v>
      </c>
      <c r="G57">
        <v>274</v>
      </c>
      <c r="H57">
        <v>12960</v>
      </c>
      <c r="I57">
        <v>5344</v>
      </c>
      <c r="J57">
        <v>2798</v>
      </c>
      <c r="K57">
        <v>5483.0183901448545</v>
      </c>
    </row>
    <row r="58" spans="1:11" x14ac:dyDescent="0.35">
      <c r="A58" t="s">
        <v>29</v>
      </c>
      <c r="B58">
        <v>1</v>
      </c>
      <c r="C58">
        <v>0.88300000000000001</v>
      </c>
      <c r="D58">
        <v>144</v>
      </c>
      <c r="E58">
        <v>143</v>
      </c>
      <c r="F58">
        <v>188</v>
      </c>
      <c r="G58">
        <v>181</v>
      </c>
      <c r="H58">
        <v>689</v>
      </c>
      <c r="I58">
        <v>322.42657342657344</v>
      </c>
      <c r="J58">
        <v>303</v>
      </c>
      <c r="K58">
        <v>102.55822085275452</v>
      </c>
    </row>
    <row r="59" spans="1:11" x14ac:dyDescent="0.35">
      <c r="A59" t="s">
        <v>29</v>
      </c>
      <c r="B59">
        <v>2</v>
      </c>
      <c r="C59">
        <v>3.1320000000000001</v>
      </c>
      <c r="D59">
        <v>32</v>
      </c>
      <c r="E59">
        <v>31</v>
      </c>
      <c r="F59">
        <v>196</v>
      </c>
      <c r="G59">
        <v>196</v>
      </c>
      <c r="H59">
        <v>10710</v>
      </c>
      <c r="I59">
        <v>1143.1612903225807</v>
      </c>
      <c r="J59">
        <v>602</v>
      </c>
      <c r="K59">
        <v>1902.6206052531386</v>
      </c>
    </row>
    <row r="60" spans="1:11" x14ac:dyDescent="0.35">
      <c r="A60" t="s">
        <v>29</v>
      </c>
      <c r="B60">
        <v>3</v>
      </c>
      <c r="C60">
        <v>1.901</v>
      </c>
      <c r="D60">
        <v>31</v>
      </c>
      <c r="E60">
        <v>30</v>
      </c>
      <c r="F60">
        <v>207</v>
      </c>
      <c r="G60">
        <v>207</v>
      </c>
      <c r="H60">
        <v>2672</v>
      </c>
      <c r="I60">
        <v>693.93333333333328</v>
      </c>
      <c r="J60">
        <v>462.5</v>
      </c>
      <c r="K60">
        <v>568.26830126465973</v>
      </c>
    </row>
    <row r="61" spans="1:11" x14ac:dyDescent="0.35">
      <c r="A61" t="s">
        <v>30</v>
      </c>
      <c r="B61">
        <v>1</v>
      </c>
      <c r="C61">
        <v>1.246</v>
      </c>
      <c r="D61">
        <v>98</v>
      </c>
      <c r="E61">
        <v>97</v>
      </c>
      <c r="F61">
        <v>185</v>
      </c>
      <c r="G61">
        <v>185</v>
      </c>
      <c r="H61">
        <v>5050</v>
      </c>
      <c r="I61">
        <v>454.64948453608247</v>
      </c>
      <c r="J61">
        <v>294</v>
      </c>
      <c r="K61">
        <v>624.4223068926151</v>
      </c>
    </row>
    <row r="62" spans="1:11" x14ac:dyDescent="0.35">
      <c r="A62" t="s">
        <v>30</v>
      </c>
      <c r="B62">
        <v>2</v>
      </c>
    </row>
    <row r="63" spans="1:11" x14ac:dyDescent="0.35">
      <c r="A63" t="s">
        <v>30</v>
      </c>
      <c r="B63">
        <v>3</v>
      </c>
    </row>
    <row r="64" spans="1:11" x14ac:dyDescent="0.35">
      <c r="A64" t="s">
        <v>31</v>
      </c>
      <c r="B64">
        <v>1</v>
      </c>
      <c r="C64">
        <v>1.3680000000000001</v>
      </c>
      <c r="D64">
        <v>75</v>
      </c>
      <c r="E64">
        <v>74</v>
      </c>
      <c r="F64">
        <v>269</v>
      </c>
      <c r="G64">
        <v>183</v>
      </c>
      <c r="H64">
        <v>3741</v>
      </c>
      <c r="I64">
        <v>499.25675675675677</v>
      </c>
      <c r="J64">
        <v>360</v>
      </c>
      <c r="K64">
        <v>465.26084113342711</v>
      </c>
    </row>
    <row r="65" spans="1:11" x14ac:dyDescent="0.35">
      <c r="A65" t="s">
        <v>31</v>
      </c>
      <c r="B65">
        <v>2</v>
      </c>
      <c r="C65">
        <v>2.0129999999999999</v>
      </c>
      <c r="D65">
        <v>48</v>
      </c>
      <c r="E65">
        <v>47</v>
      </c>
      <c r="F65">
        <v>375</v>
      </c>
      <c r="G65">
        <v>182</v>
      </c>
      <c r="H65">
        <v>7303</v>
      </c>
      <c r="I65">
        <v>734.70212765957444</v>
      </c>
      <c r="J65">
        <v>404</v>
      </c>
      <c r="K65">
        <v>1083.3883199008565</v>
      </c>
    </row>
    <row r="66" spans="1:11" x14ac:dyDescent="0.35">
      <c r="A66" t="s">
        <v>31</v>
      </c>
      <c r="B66">
        <v>3</v>
      </c>
      <c r="C66">
        <v>2.1629999999999998</v>
      </c>
      <c r="D66">
        <v>43</v>
      </c>
      <c r="E66">
        <v>42</v>
      </c>
      <c r="F66">
        <v>270</v>
      </c>
      <c r="G66">
        <v>197</v>
      </c>
      <c r="H66">
        <v>4391</v>
      </c>
      <c r="I66">
        <v>789.57142857142856</v>
      </c>
      <c r="J66">
        <v>438.5</v>
      </c>
      <c r="K66">
        <v>856.99894823675925</v>
      </c>
    </row>
    <row r="67" spans="1:11" x14ac:dyDescent="0.35">
      <c r="A67" t="s">
        <v>32</v>
      </c>
      <c r="B67">
        <v>1</v>
      </c>
      <c r="C67">
        <v>0.95599999999999996</v>
      </c>
      <c r="D67">
        <v>122</v>
      </c>
      <c r="E67">
        <v>121</v>
      </c>
      <c r="F67">
        <v>187</v>
      </c>
      <c r="G67">
        <v>182</v>
      </c>
      <c r="H67">
        <v>921</v>
      </c>
      <c r="I67">
        <v>348.95867768595042</v>
      </c>
      <c r="J67">
        <v>325</v>
      </c>
      <c r="K67">
        <v>138.87019902327455</v>
      </c>
    </row>
    <row r="68" spans="1:11" x14ac:dyDescent="0.35">
      <c r="A68" t="s">
        <v>32</v>
      </c>
      <c r="B68">
        <v>2</v>
      </c>
      <c r="C68">
        <v>1.3460000000000001</v>
      </c>
      <c r="D68">
        <v>81</v>
      </c>
      <c r="E68">
        <v>80</v>
      </c>
      <c r="F68">
        <v>301</v>
      </c>
      <c r="G68">
        <v>181</v>
      </c>
      <c r="H68">
        <v>3550</v>
      </c>
      <c r="I68">
        <v>491.26249999999999</v>
      </c>
      <c r="J68">
        <v>327.5</v>
      </c>
      <c r="K68">
        <v>482.00720284426251</v>
      </c>
    </row>
    <row r="69" spans="1:11" x14ac:dyDescent="0.35">
      <c r="A69" t="s">
        <v>32</v>
      </c>
      <c r="B69">
        <v>3</v>
      </c>
    </row>
    <row r="70" spans="1:11" x14ac:dyDescent="0.35">
      <c r="A70" t="s">
        <v>34</v>
      </c>
      <c r="B70">
        <v>1</v>
      </c>
      <c r="C70">
        <v>4.6859999999999999</v>
      </c>
      <c r="D70">
        <v>25</v>
      </c>
      <c r="E70">
        <v>24</v>
      </c>
      <c r="F70">
        <v>184</v>
      </c>
      <c r="G70">
        <v>184</v>
      </c>
      <c r="H70">
        <v>6736</v>
      </c>
      <c r="I70">
        <v>1710.375</v>
      </c>
      <c r="J70">
        <v>956</v>
      </c>
      <c r="K70">
        <v>1890.355628193189</v>
      </c>
    </row>
    <row r="71" spans="1:11" x14ac:dyDescent="0.35">
      <c r="A71" t="s">
        <v>34</v>
      </c>
      <c r="B71">
        <v>2</v>
      </c>
      <c r="C71">
        <v>7.3129999999999997</v>
      </c>
      <c r="D71">
        <v>15</v>
      </c>
      <c r="E71">
        <v>14</v>
      </c>
      <c r="F71">
        <v>254</v>
      </c>
      <c r="G71">
        <v>254</v>
      </c>
      <c r="H71">
        <v>8505</v>
      </c>
      <c r="I71">
        <v>2669.2142857142858</v>
      </c>
      <c r="J71">
        <v>1292.5</v>
      </c>
      <c r="K71">
        <v>2750.4257119469294</v>
      </c>
    </row>
    <row r="72" spans="1:11" x14ac:dyDescent="0.35">
      <c r="A72" t="s">
        <v>34</v>
      </c>
      <c r="B72">
        <v>3</v>
      </c>
      <c r="C72">
        <v>13.728</v>
      </c>
      <c r="D72">
        <v>8</v>
      </c>
      <c r="E72">
        <v>7</v>
      </c>
      <c r="F72">
        <v>878</v>
      </c>
      <c r="G72">
        <v>878</v>
      </c>
      <c r="H72">
        <v>14416</v>
      </c>
      <c r="I72">
        <v>5010.5714285714284</v>
      </c>
      <c r="J72">
        <v>2585</v>
      </c>
      <c r="K72">
        <v>4533.6609570488827</v>
      </c>
    </row>
    <row r="73" spans="1:11" x14ac:dyDescent="0.35">
      <c r="A73" t="s">
        <v>35</v>
      </c>
      <c r="B73">
        <v>1</v>
      </c>
      <c r="C73">
        <v>1.5529999999999999</v>
      </c>
      <c r="D73">
        <v>39</v>
      </c>
      <c r="E73">
        <v>38</v>
      </c>
      <c r="F73">
        <v>182</v>
      </c>
      <c r="G73">
        <v>182</v>
      </c>
      <c r="H73">
        <v>2276</v>
      </c>
      <c r="I73">
        <v>566.81578947368416</v>
      </c>
      <c r="J73">
        <v>397</v>
      </c>
      <c r="K73">
        <v>413.5065617288289</v>
      </c>
    </row>
    <row r="74" spans="1:11" x14ac:dyDescent="0.35">
      <c r="A74" t="s">
        <v>35</v>
      </c>
      <c r="B74">
        <v>2</v>
      </c>
      <c r="C74">
        <v>4.0540000000000003</v>
      </c>
      <c r="D74">
        <v>26</v>
      </c>
      <c r="E74">
        <v>25</v>
      </c>
      <c r="F74">
        <v>194</v>
      </c>
      <c r="G74">
        <v>194</v>
      </c>
      <c r="H74">
        <v>17293</v>
      </c>
      <c r="I74">
        <v>1479.64</v>
      </c>
      <c r="J74">
        <v>483</v>
      </c>
      <c r="K74">
        <v>3304.7804995793604</v>
      </c>
    </row>
    <row r="75" spans="1:11" x14ac:dyDescent="0.35">
      <c r="A75" t="s">
        <v>35</v>
      </c>
      <c r="B75">
        <v>3</v>
      </c>
    </row>
    <row r="76" spans="1:11" x14ac:dyDescent="0.35">
      <c r="A76" t="s">
        <v>36</v>
      </c>
      <c r="B76">
        <v>1</v>
      </c>
      <c r="C76">
        <v>3.1230000000000002</v>
      </c>
      <c r="D76">
        <v>17</v>
      </c>
      <c r="E76">
        <v>16</v>
      </c>
      <c r="F76">
        <v>248</v>
      </c>
      <c r="G76">
        <v>248</v>
      </c>
      <c r="H76">
        <v>3351</v>
      </c>
      <c r="I76">
        <v>1139.875</v>
      </c>
      <c r="J76">
        <v>817.5</v>
      </c>
      <c r="K76">
        <v>876.40058442187274</v>
      </c>
    </row>
    <row r="77" spans="1:11" x14ac:dyDescent="0.35">
      <c r="A77" t="s">
        <v>36</v>
      </c>
      <c r="B77">
        <v>2</v>
      </c>
      <c r="C77">
        <v>1.323</v>
      </c>
      <c r="D77">
        <v>40</v>
      </c>
      <c r="E77">
        <v>39</v>
      </c>
      <c r="F77">
        <v>251</v>
      </c>
      <c r="G77">
        <v>184</v>
      </c>
      <c r="H77">
        <v>1285</v>
      </c>
      <c r="I77">
        <v>482.74358974358972</v>
      </c>
      <c r="J77">
        <v>365</v>
      </c>
      <c r="K77">
        <v>296.38754238230297</v>
      </c>
    </row>
    <row r="78" spans="1:11" x14ac:dyDescent="0.35">
      <c r="A78" t="s">
        <v>36</v>
      </c>
      <c r="B78">
        <v>3</v>
      </c>
      <c r="C78">
        <v>2.0939999999999999</v>
      </c>
      <c r="D78">
        <v>23</v>
      </c>
      <c r="E78">
        <v>22</v>
      </c>
      <c r="F78">
        <v>181</v>
      </c>
      <c r="G78">
        <v>181</v>
      </c>
      <c r="H78">
        <v>4159</v>
      </c>
      <c r="I78">
        <v>764.27272727272725</v>
      </c>
      <c r="J78">
        <v>574.5</v>
      </c>
      <c r="K78">
        <v>822.86258555772474</v>
      </c>
    </row>
    <row r="79" spans="1:11" x14ac:dyDescent="0.35">
      <c r="A79" t="s">
        <v>37</v>
      </c>
      <c r="B79">
        <v>1</v>
      </c>
      <c r="C79">
        <v>1.994</v>
      </c>
      <c r="D79">
        <v>53</v>
      </c>
      <c r="E79">
        <v>52</v>
      </c>
      <c r="F79">
        <v>186</v>
      </c>
      <c r="G79">
        <v>186</v>
      </c>
      <c r="H79">
        <v>10513</v>
      </c>
      <c r="I79">
        <v>727.78846153846155</v>
      </c>
      <c r="J79">
        <v>347.5</v>
      </c>
      <c r="K79">
        <v>1470.386335111371</v>
      </c>
    </row>
    <row r="80" spans="1:11" x14ac:dyDescent="0.35">
      <c r="A80" t="s">
        <v>37</v>
      </c>
      <c r="B80">
        <v>2</v>
      </c>
      <c r="C80">
        <v>4.67</v>
      </c>
      <c r="D80">
        <v>12</v>
      </c>
      <c r="E80">
        <v>11</v>
      </c>
      <c r="F80">
        <v>293</v>
      </c>
      <c r="G80">
        <v>293</v>
      </c>
      <c r="H80">
        <v>4474</v>
      </c>
      <c r="I80">
        <v>1704.6363636363637</v>
      </c>
      <c r="J80">
        <v>1683</v>
      </c>
      <c r="K80">
        <v>1223.386230006123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E9DF-A2CA-4115-9F14-0B18289F53E5}">
  <dimension ref="A1:K80"/>
  <sheetViews>
    <sheetView topLeftCell="A50" workbookViewId="0"/>
  </sheetViews>
  <sheetFormatPr defaultRowHeight="14.5" x14ac:dyDescent="0.35"/>
  <cols>
    <col min="1" max="1" width="16.6328125" bestFit="1" customWidth="1"/>
    <col min="2" max="2" width="11.26953125" bestFit="1" customWidth="1"/>
    <col min="3" max="3" width="10.54296875" bestFit="1" customWidth="1"/>
    <col min="4" max="4" width="18.7265625" bestFit="1" customWidth="1"/>
    <col min="5" max="5" width="11.90625" bestFit="1" customWidth="1"/>
    <col min="6" max="6" width="13.36328125" bestFit="1" customWidth="1"/>
    <col min="7" max="7" width="10.26953125" bestFit="1" customWidth="1"/>
    <col min="8" max="8" width="10.6328125" bestFit="1" customWidth="1"/>
    <col min="9" max="9" width="11.81640625" bestFit="1" customWidth="1"/>
    <col min="10" max="10" width="13.3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39</v>
      </c>
      <c r="H1" t="s">
        <v>40</v>
      </c>
      <c r="I1" t="s">
        <v>5</v>
      </c>
      <c r="J1" t="s">
        <v>6</v>
      </c>
      <c r="K1" t="s">
        <v>41</v>
      </c>
    </row>
    <row r="2" spans="1:11" x14ac:dyDescent="0.35">
      <c r="A2" t="s">
        <v>9</v>
      </c>
      <c r="B2">
        <v>1</v>
      </c>
      <c r="C2">
        <v>0.89800000000000002</v>
      </c>
      <c r="D2">
        <v>141</v>
      </c>
      <c r="E2">
        <v>140</v>
      </c>
      <c r="F2">
        <v>194</v>
      </c>
      <c r="G2">
        <v>185</v>
      </c>
      <c r="H2">
        <v>1218</v>
      </c>
      <c r="I2">
        <v>327.62142857142857</v>
      </c>
      <c r="J2">
        <v>301</v>
      </c>
      <c r="K2">
        <v>128.13210079875395</v>
      </c>
    </row>
    <row r="3" spans="1:11" x14ac:dyDescent="0.35">
      <c r="A3" t="s">
        <v>9</v>
      </c>
      <c r="B3">
        <v>2</v>
      </c>
      <c r="C3">
        <v>1.097</v>
      </c>
      <c r="D3">
        <v>115</v>
      </c>
      <c r="E3">
        <v>114</v>
      </c>
      <c r="F3">
        <v>198</v>
      </c>
      <c r="G3">
        <v>184</v>
      </c>
      <c r="H3">
        <v>1157</v>
      </c>
      <c r="I3">
        <v>400.57017543859649</v>
      </c>
      <c r="J3">
        <v>363</v>
      </c>
      <c r="K3">
        <v>199.30334674253777</v>
      </c>
    </row>
    <row r="4" spans="1:11" x14ac:dyDescent="0.35">
      <c r="A4" t="s">
        <v>9</v>
      </c>
      <c r="B4">
        <v>3</v>
      </c>
      <c r="C4">
        <v>24.562000000000001</v>
      </c>
      <c r="D4">
        <v>4</v>
      </c>
      <c r="E4">
        <v>3</v>
      </c>
      <c r="F4">
        <v>190</v>
      </c>
      <c r="G4">
        <v>190</v>
      </c>
      <c r="H4">
        <v>20846</v>
      </c>
      <c r="I4">
        <v>8965</v>
      </c>
      <c r="J4">
        <v>5859</v>
      </c>
      <c r="K4">
        <v>8714.0886308705103</v>
      </c>
    </row>
    <row r="5" spans="1:11" x14ac:dyDescent="0.35">
      <c r="A5" t="s">
        <v>10</v>
      </c>
      <c r="B5">
        <v>1</v>
      </c>
      <c r="C5">
        <v>0.90400000000000003</v>
      </c>
      <c r="D5">
        <v>141</v>
      </c>
      <c r="E5">
        <v>140</v>
      </c>
      <c r="F5">
        <v>216</v>
      </c>
      <c r="G5">
        <v>182</v>
      </c>
      <c r="H5">
        <v>1579</v>
      </c>
      <c r="I5">
        <v>330.02857142857141</v>
      </c>
      <c r="J5">
        <v>286</v>
      </c>
      <c r="K5">
        <v>156.58292840979743</v>
      </c>
    </row>
    <row r="6" spans="1:11" x14ac:dyDescent="0.35">
      <c r="A6" t="s">
        <v>10</v>
      </c>
      <c r="B6">
        <v>2</v>
      </c>
      <c r="C6">
        <v>5.952</v>
      </c>
      <c r="D6">
        <v>12</v>
      </c>
      <c r="E6">
        <v>11</v>
      </c>
      <c r="F6">
        <v>249</v>
      </c>
      <c r="G6">
        <v>249</v>
      </c>
      <c r="H6">
        <v>8693</v>
      </c>
      <c r="I6">
        <v>2172.4545454545455</v>
      </c>
      <c r="J6">
        <v>1165</v>
      </c>
      <c r="K6">
        <v>2295.2070361610026</v>
      </c>
    </row>
    <row r="7" spans="1:11" x14ac:dyDescent="0.35">
      <c r="A7" t="s">
        <v>10</v>
      </c>
      <c r="B7">
        <v>3</v>
      </c>
      <c r="C7">
        <v>49.811</v>
      </c>
      <c r="D7">
        <v>2</v>
      </c>
      <c r="E7">
        <v>1</v>
      </c>
      <c r="F7">
        <v>18181</v>
      </c>
      <c r="G7">
        <v>18181</v>
      </c>
      <c r="H7">
        <v>18181</v>
      </c>
      <c r="I7">
        <v>18181</v>
      </c>
      <c r="J7">
        <v>18181</v>
      </c>
      <c r="K7">
        <v>0</v>
      </c>
    </row>
    <row r="8" spans="1:11" x14ac:dyDescent="0.35">
      <c r="A8" t="s">
        <v>11</v>
      </c>
      <c r="B8">
        <v>1</v>
      </c>
      <c r="C8">
        <v>0.90300000000000002</v>
      </c>
      <c r="D8">
        <v>139</v>
      </c>
      <c r="E8">
        <v>138</v>
      </c>
      <c r="F8">
        <v>183</v>
      </c>
      <c r="G8">
        <v>181</v>
      </c>
      <c r="H8">
        <v>1194</v>
      </c>
      <c r="I8">
        <v>329.463768115942</v>
      </c>
      <c r="J8">
        <v>273</v>
      </c>
      <c r="K8">
        <v>168.66625820911861</v>
      </c>
    </row>
    <row r="9" spans="1:11" x14ac:dyDescent="0.35">
      <c r="A9" t="s">
        <v>11</v>
      </c>
      <c r="B9">
        <v>2</v>
      </c>
      <c r="D9">
        <v>1</v>
      </c>
    </row>
    <row r="10" spans="1:11" x14ac:dyDescent="0.35">
      <c r="A10" t="s">
        <v>11</v>
      </c>
      <c r="B10">
        <v>3</v>
      </c>
    </row>
    <row r="11" spans="1:11" x14ac:dyDescent="0.35">
      <c r="A11" t="s">
        <v>12</v>
      </c>
      <c r="B11">
        <v>1</v>
      </c>
      <c r="C11">
        <v>0.99399999999999999</v>
      </c>
      <c r="D11">
        <v>125</v>
      </c>
      <c r="E11">
        <v>124</v>
      </c>
      <c r="F11">
        <v>222</v>
      </c>
      <c r="G11">
        <v>182</v>
      </c>
      <c r="H11">
        <v>1204</v>
      </c>
      <c r="I11">
        <v>362.94354838709677</v>
      </c>
      <c r="J11">
        <v>333.5</v>
      </c>
      <c r="K11">
        <v>158.89707068187229</v>
      </c>
    </row>
    <row r="12" spans="1:11" x14ac:dyDescent="0.35">
      <c r="A12" t="s">
        <v>12</v>
      </c>
      <c r="B12">
        <v>2</v>
      </c>
    </row>
    <row r="13" spans="1:11" x14ac:dyDescent="0.35">
      <c r="A13" t="s">
        <v>12</v>
      </c>
      <c r="B13">
        <v>3</v>
      </c>
    </row>
    <row r="14" spans="1:11" x14ac:dyDescent="0.35">
      <c r="A14" t="s">
        <v>13</v>
      </c>
      <c r="B14">
        <v>1</v>
      </c>
      <c r="C14">
        <v>0.90900000000000003</v>
      </c>
      <c r="D14">
        <v>139</v>
      </c>
      <c r="E14">
        <v>138</v>
      </c>
      <c r="F14">
        <v>181</v>
      </c>
      <c r="G14">
        <v>181</v>
      </c>
      <c r="H14">
        <v>759</v>
      </c>
      <c r="I14">
        <v>331.89855072463769</v>
      </c>
      <c r="J14">
        <v>310.5</v>
      </c>
      <c r="K14">
        <v>116.84507827349931</v>
      </c>
    </row>
    <row r="15" spans="1:11" x14ac:dyDescent="0.35">
      <c r="A15" t="s">
        <v>13</v>
      </c>
      <c r="B15">
        <v>2</v>
      </c>
      <c r="C15">
        <v>2.0990000000000002</v>
      </c>
      <c r="D15">
        <v>60</v>
      </c>
      <c r="E15">
        <v>59</v>
      </c>
      <c r="F15">
        <v>271</v>
      </c>
      <c r="G15">
        <v>183</v>
      </c>
      <c r="H15">
        <v>4222</v>
      </c>
      <c r="I15">
        <v>766.15254237288138</v>
      </c>
      <c r="J15">
        <v>614</v>
      </c>
      <c r="K15">
        <v>612.07736892028925</v>
      </c>
    </row>
    <row r="16" spans="1:11" x14ac:dyDescent="0.35">
      <c r="A16" t="s">
        <v>13</v>
      </c>
      <c r="B16">
        <v>3</v>
      </c>
      <c r="C16">
        <v>4.72</v>
      </c>
      <c r="D16">
        <v>25</v>
      </c>
      <c r="E16">
        <v>24</v>
      </c>
      <c r="F16">
        <v>227</v>
      </c>
      <c r="G16">
        <v>227</v>
      </c>
      <c r="H16">
        <v>7203</v>
      </c>
      <c r="I16">
        <v>1722.9583333333333</v>
      </c>
      <c r="J16">
        <v>1034.5</v>
      </c>
      <c r="K16">
        <v>1587.357092758449</v>
      </c>
    </row>
    <row r="17" spans="1:11" x14ac:dyDescent="0.35">
      <c r="A17" t="s">
        <v>14</v>
      </c>
      <c r="B17">
        <v>1</v>
      </c>
      <c r="C17">
        <v>1.1559999999999999</v>
      </c>
      <c r="D17">
        <v>110</v>
      </c>
      <c r="E17">
        <v>109</v>
      </c>
      <c r="F17">
        <v>187</v>
      </c>
      <c r="G17">
        <v>185</v>
      </c>
      <c r="H17">
        <v>1181</v>
      </c>
      <c r="I17">
        <v>422.04587155963304</v>
      </c>
      <c r="J17">
        <v>363</v>
      </c>
      <c r="K17">
        <v>209.86078326956567</v>
      </c>
    </row>
    <row r="18" spans="1:11" x14ac:dyDescent="0.35">
      <c r="A18" t="s">
        <v>14</v>
      </c>
      <c r="B18">
        <v>2</v>
      </c>
      <c r="C18">
        <v>1.8180000000000001</v>
      </c>
      <c r="D18">
        <v>69</v>
      </c>
      <c r="E18">
        <v>68</v>
      </c>
      <c r="F18">
        <v>340</v>
      </c>
      <c r="G18">
        <v>187</v>
      </c>
      <c r="H18">
        <v>2958</v>
      </c>
      <c r="I18">
        <v>663.61764705882354</v>
      </c>
      <c r="J18">
        <v>520</v>
      </c>
      <c r="K18">
        <v>493.47185477318476</v>
      </c>
    </row>
    <row r="19" spans="1:11" x14ac:dyDescent="0.35">
      <c r="A19" t="s">
        <v>14</v>
      </c>
      <c r="B19">
        <v>3</v>
      </c>
      <c r="C19">
        <v>36.402999999999999</v>
      </c>
      <c r="D19">
        <v>2</v>
      </c>
      <c r="E19">
        <v>1</v>
      </c>
      <c r="F19">
        <v>13287</v>
      </c>
      <c r="G19">
        <v>13287</v>
      </c>
      <c r="H19">
        <v>13287</v>
      </c>
      <c r="I19">
        <v>13287</v>
      </c>
      <c r="J19">
        <v>13287</v>
      </c>
      <c r="K19">
        <v>0</v>
      </c>
    </row>
    <row r="20" spans="1:11" x14ac:dyDescent="0.35">
      <c r="A20" t="s">
        <v>15</v>
      </c>
      <c r="B20">
        <v>1</v>
      </c>
      <c r="C20">
        <v>1.899</v>
      </c>
      <c r="D20">
        <v>61</v>
      </c>
      <c r="E20">
        <v>60</v>
      </c>
      <c r="F20">
        <v>233</v>
      </c>
      <c r="G20">
        <v>193</v>
      </c>
      <c r="H20">
        <v>2276</v>
      </c>
      <c r="I20">
        <v>693.11666666666667</v>
      </c>
      <c r="J20">
        <v>517.5</v>
      </c>
      <c r="K20">
        <v>473.2369417697181</v>
      </c>
    </row>
    <row r="21" spans="1:11" x14ac:dyDescent="0.35">
      <c r="A21" t="s">
        <v>15</v>
      </c>
      <c r="B21">
        <v>2</v>
      </c>
      <c r="C21">
        <v>7.3730000000000002</v>
      </c>
      <c r="D21">
        <v>3</v>
      </c>
      <c r="E21">
        <v>2</v>
      </c>
      <c r="F21">
        <v>779</v>
      </c>
      <c r="G21">
        <v>779</v>
      </c>
      <c r="H21">
        <v>4603</v>
      </c>
      <c r="I21">
        <v>2691</v>
      </c>
      <c r="J21">
        <v>2691</v>
      </c>
      <c r="K21">
        <v>1912</v>
      </c>
    </row>
    <row r="22" spans="1:11" x14ac:dyDescent="0.35">
      <c r="A22" t="s">
        <v>15</v>
      </c>
      <c r="B22">
        <v>3</v>
      </c>
      <c r="C22">
        <v>2.2549999999999999</v>
      </c>
      <c r="D22">
        <v>2</v>
      </c>
      <c r="E22">
        <v>1</v>
      </c>
      <c r="F22">
        <v>823</v>
      </c>
      <c r="G22">
        <v>823</v>
      </c>
      <c r="H22">
        <v>823</v>
      </c>
      <c r="I22">
        <v>823</v>
      </c>
      <c r="J22">
        <v>823</v>
      </c>
      <c r="K22">
        <v>0</v>
      </c>
    </row>
    <row r="23" spans="1:11" x14ac:dyDescent="0.35">
      <c r="A23" t="s">
        <v>16</v>
      </c>
      <c r="B23">
        <v>1</v>
      </c>
      <c r="C23">
        <v>2.4969999999999999</v>
      </c>
      <c r="D23">
        <v>50</v>
      </c>
      <c r="E23">
        <v>49</v>
      </c>
      <c r="F23">
        <v>319</v>
      </c>
      <c r="G23">
        <v>191</v>
      </c>
      <c r="H23">
        <v>4122</v>
      </c>
      <c r="I23">
        <v>911.30612244897964</v>
      </c>
      <c r="J23">
        <v>605</v>
      </c>
      <c r="K23">
        <v>830.79790032655069</v>
      </c>
    </row>
    <row r="24" spans="1:11" x14ac:dyDescent="0.35">
      <c r="A24" t="s">
        <v>16</v>
      </c>
      <c r="B24">
        <v>2</v>
      </c>
      <c r="C24">
        <v>34.103000000000002</v>
      </c>
      <c r="D24">
        <v>3</v>
      </c>
      <c r="E24">
        <v>2</v>
      </c>
      <c r="F24">
        <v>1648</v>
      </c>
      <c r="G24">
        <v>1648</v>
      </c>
      <c r="H24">
        <v>23247</v>
      </c>
      <c r="I24">
        <v>12447.5</v>
      </c>
      <c r="J24">
        <v>12447.5</v>
      </c>
      <c r="K24">
        <v>10799.5</v>
      </c>
    </row>
    <row r="25" spans="1:11" x14ac:dyDescent="0.35">
      <c r="A25" t="s">
        <v>16</v>
      </c>
      <c r="B25">
        <v>3</v>
      </c>
    </row>
    <row r="26" spans="1:11" x14ac:dyDescent="0.35">
      <c r="A26" t="s">
        <v>17</v>
      </c>
      <c r="B26">
        <v>1</v>
      </c>
      <c r="C26">
        <v>0.86399999999999999</v>
      </c>
      <c r="D26">
        <v>146</v>
      </c>
      <c r="E26">
        <v>145</v>
      </c>
      <c r="F26">
        <v>187</v>
      </c>
      <c r="G26">
        <v>181</v>
      </c>
      <c r="H26">
        <v>1177</v>
      </c>
      <c r="I26">
        <v>315.3862068965517</v>
      </c>
      <c r="J26">
        <v>285</v>
      </c>
      <c r="K26">
        <v>128.67173878313153</v>
      </c>
    </row>
    <row r="27" spans="1:11" x14ac:dyDescent="0.35">
      <c r="A27" t="s">
        <v>17</v>
      </c>
      <c r="B27">
        <v>2</v>
      </c>
      <c r="C27">
        <v>10.384</v>
      </c>
      <c r="D27">
        <v>13</v>
      </c>
      <c r="E27">
        <v>12</v>
      </c>
      <c r="F27">
        <v>629</v>
      </c>
      <c r="G27">
        <v>629</v>
      </c>
      <c r="H27">
        <v>14055</v>
      </c>
      <c r="I27">
        <v>3790.1666666666665</v>
      </c>
      <c r="J27">
        <v>2120.5</v>
      </c>
      <c r="K27">
        <v>3721.3473105255243</v>
      </c>
    </row>
    <row r="28" spans="1:11" x14ac:dyDescent="0.35">
      <c r="A28" t="s">
        <v>17</v>
      </c>
      <c r="B28">
        <v>3</v>
      </c>
      <c r="C28">
        <v>14.148999999999999</v>
      </c>
      <c r="D28">
        <v>9</v>
      </c>
      <c r="E28">
        <v>8</v>
      </c>
      <c r="F28">
        <v>229</v>
      </c>
      <c r="G28">
        <v>229</v>
      </c>
      <c r="H28">
        <v>20752</v>
      </c>
      <c r="I28">
        <v>5164.5</v>
      </c>
      <c r="J28">
        <v>1953.5</v>
      </c>
      <c r="K28">
        <v>6948.1646677378048</v>
      </c>
    </row>
    <row r="29" spans="1:11" x14ac:dyDescent="0.35">
      <c r="A29" t="s">
        <v>18</v>
      </c>
      <c r="B29">
        <v>1</v>
      </c>
      <c r="C29">
        <v>2.8260000000000001</v>
      </c>
      <c r="D29">
        <v>44</v>
      </c>
      <c r="E29">
        <v>43</v>
      </c>
      <c r="F29">
        <v>1675</v>
      </c>
      <c r="G29">
        <v>193</v>
      </c>
      <c r="H29">
        <v>6012</v>
      </c>
      <c r="I29">
        <v>1031.3488372093022</v>
      </c>
      <c r="J29">
        <v>645</v>
      </c>
      <c r="K29">
        <v>1105.8847007422867</v>
      </c>
    </row>
    <row r="30" spans="1:11" x14ac:dyDescent="0.35">
      <c r="A30" t="s">
        <v>18</v>
      </c>
      <c r="B30">
        <v>2</v>
      </c>
      <c r="C30">
        <v>7.5119999999999996</v>
      </c>
      <c r="D30">
        <v>15</v>
      </c>
      <c r="E30">
        <v>14</v>
      </c>
      <c r="F30">
        <v>250</v>
      </c>
      <c r="G30">
        <v>250</v>
      </c>
      <c r="H30">
        <v>10897</v>
      </c>
      <c r="I30">
        <v>2742</v>
      </c>
      <c r="J30">
        <v>1628.5</v>
      </c>
      <c r="K30">
        <v>2805.478950706482</v>
      </c>
    </row>
    <row r="31" spans="1:11" x14ac:dyDescent="0.35">
      <c r="A31" t="s">
        <v>18</v>
      </c>
      <c r="B31">
        <v>3</v>
      </c>
      <c r="C31">
        <v>6.4160000000000004</v>
      </c>
      <c r="D31">
        <v>16</v>
      </c>
      <c r="E31">
        <v>15</v>
      </c>
      <c r="F31">
        <v>198</v>
      </c>
      <c r="G31">
        <v>198</v>
      </c>
      <c r="H31">
        <v>9239</v>
      </c>
      <c r="I31">
        <v>2342</v>
      </c>
      <c r="J31">
        <v>1806</v>
      </c>
      <c r="K31">
        <v>2329.0343349408427</v>
      </c>
    </row>
    <row r="32" spans="1:11" x14ac:dyDescent="0.35">
      <c r="A32" t="s">
        <v>19</v>
      </c>
      <c r="B32">
        <v>1</v>
      </c>
      <c r="C32">
        <v>2.6749999999999998</v>
      </c>
      <c r="D32">
        <v>42</v>
      </c>
      <c r="E32">
        <v>41</v>
      </c>
      <c r="F32">
        <v>194</v>
      </c>
      <c r="G32">
        <v>194</v>
      </c>
      <c r="H32">
        <v>3854</v>
      </c>
      <c r="I32">
        <v>976.21951219512198</v>
      </c>
      <c r="J32">
        <v>669</v>
      </c>
      <c r="K32">
        <v>857.55223156562113</v>
      </c>
    </row>
    <row r="33" spans="1:11" x14ac:dyDescent="0.35">
      <c r="A33" t="s">
        <v>19</v>
      </c>
      <c r="B33">
        <v>2</v>
      </c>
      <c r="C33">
        <v>3.5859999999999999</v>
      </c>
      <c r="D33">
        <v>33</v>
      </c>
      <c r="E33">
        <v>32</v>
      </c>
      <c r="F33">
        <v>197</v>
      </c>
      <c r="G33">
        <v>197</v>
      </c>
      <c r="H33">
        <v>4829</v>
      </c>
      <c r="I33">
        <v>1308.71875</v>
      </c>
      <c r="J33">
        <v>899</v>
      </c>
      <c r="K33">
        <v>1115.6078285618282</v>
      </c>
    </row>
    <row r="34" spans="1:11" x14ac:dyDescent="0.35">
      <c r="A34" t="s">
        <v>19</v>
      </c>
      <c r="B34">
        <v>3</v>
      </c>
      <c r="C34">
        <v>11.755000000000001</v>
      </c>
      <c r="D34">
        <v>9</v>
      </c>
      <c r="E34">
        <v>8</v>
      </c>
      <c r="F34">
        <v>1280</v>
      </c>
      <c r="G34">
        <v>1280</v>
      </c>
      <c r="H34">
        <v>7452</v>
      </c>
      <c r="I34">
        <v>4290.75</v>
      </c>
      <c r="J34">
        <v>3709.5</v>
      </c>
      <c r="K34">
        <v>1894.0060552965506</v>
      </c>
    </row>
    <row r="35" spans="1:11" x14ac:dyDescent="0.35">
      <c r="A35" t="s">
        <v>20</v>
      </c>
      <c r="B35">
        <v>1</v>
      </c>
      <c r="C35">
        <v>3.0939999999999999</v>
      </c>
      <c r="D35">
        <v>39</v>
      </c>
      <c r="E35">
        <v>38</v>
      </c>
      <c r="F35">
        <v>246</v>
      </c>
      <c r="G35">
        <v>229</v>
      </c>
      <c r="H35">
        <v>3834</v>
      </c>
      <c r="I35">
        <v>1129.1315789473683</v>
      </c>
      <c r="J35">
        <v>855.5</v>
      </c>
      <c r="K35">
        <v>910.99942720684032</v>
      </c>
    </row>
    <row r="36" spans="1:11" x14ac:dyDescent="0.35">
      <c r="A36" t="s">
        <v>20</v>
      </c>
      <c r="B36">
        <v>2</v>
      </c>
      <c r="C36">
        <v>10.491</v>
      </c>
      <c r="D36">
        <v>8</v>
      </c>
      <c r="E36">
        <v>7</v>
      </c>
      <c r="F36">
        <v>1100</v>
      </c>
      <c r="G36">
        <v>1100</v>
      </c>
      <c r="H36">
        <v>8118</v>
      </c>
      <c r="I36">
        <v>3829.1428571428573</v>
      </c>
      <c r="J36">
        <v>4224</v>
      </c>
      <c r="K36">
        <v>2207.3885947343447</v>
      </c>
    </row>
    <row r="37" spans="1:11" x14ac:dyDescent="0.35">
      <c r="A37" t="s">
        <v>20</v>
      </c>
      <c r="B37">
        <v>3</v>
      </c>
      <c r="C37">
        <v>11.855</v>
      </c>
      <c r="D37">
        <v>10</v>
      </c>
      <c r="E37">
        <v>9</v>
      </c>
      <c r="F37">
        <v>509</v>
      </c>
      <c r="G37">
        <v>509</v>
      </c>
      <c r="H37">
        <v>10759</v>
      </c>
      <c r="I37">
        <v>4327.1111111111113</v>
      </c>
      <c r="J37">
        <v>4420</v>
      </c>
      <c r="K37">
        <v>2810.9748188304293</v>
      </c>
    </row>
    <row r="38" spans="1:11" x14ac:dyDescent="0.35">
      <c r="A38" t="s">
        <v>21</v>
      </c>
      <c r="B38">
        <v>1</v>
      </c>
      <c r="C38">
        <v>2.3199999999999998</v>
      </c>
      <c r="D38">
        <v>53</v>
      </c>
      <c r="E38">
        <v>52</v>
      </c>
      <c r="F38">
        <v>263</v>
      </c>
      <c r="G38">
        <v>182</v>
      </c>
      <c r="H38">
        <v>3866</v>
      </c>
      <c r="I38">
        <v>846.63461538461536</v>
      </c>
      <c r="J38">
        <v>581</v>
      </c>
      <c r="K38">
        <v>747.03248896618004</v>
      </c>
    </row>
    <row r="39" spans="1:11" x14ac:dyDescent="0.35">
      <c r="A39" t="s">
        <v>21</v>
      </c>
      <c r="B39">
        <v>2</v>
      </c>
    </row>
    <row r="40" spans="1:11" x14ac:dyDescent="0.35">
      <c r="A40" t="s">
        <v>21</v>
      </c>
      <c r="B40">
        <v>3</v>
      </c>
    </row>
    <row r="41" spans="1:11" x14ac:dyDescent="0.35">
      <c r="A41" t="s">
        <v>22</v>
      </c>
      <c r="B41">
        <v>1</v>
      </c>
      <c r="C41">
        <v>3.673</v>
      </c>
      <c r="D41">
        <v>35</v>
      </c>
      <c r="E41">
        <v>34</v>
      </c>
      <c r="F41">
        <v>214</v>
      </c>
      <c r="G41">
        <v>214</v>
      </c>
      <c r="H41">
        <v>4450</v>
      </c>
      <c r="I41">
        <v>1340.5294117647059</v>
      </c>
      <c r="J41">
        <v>1132</v>
      </c>
      <c r="K41">
        <v>998.86185923821847</v>
      </c>
    </row>
    <row r="42" spans="1:11" x14ac:dyDescent="0.35">
      <c r="A42" t="s">
        <v>23</v>
      </c>
      <c r="B42">
        <v>1</v>
      </c>
      <c r="C42">
        <v>2.827</v>
      </c>
      <c r="D42">
        <v>45</v>
      </c>
      <c r="E42">
        <v>44</v>
      </c>
      <c r="F42">
        <v>320</v>
      </c>
      <c r="G42">
        <v>186</v>
      </c>
      <c r="H42">
        <v>3839</v>
      </c>
      <c r="I42">
        <v>1031.909090909091</v>
      </c>
      <c r="J42">
        <v>804</v>
      </c>
      <c r="K42">
        <v>830.03835667619546</v>
      </c>
    </row>
    <row r="43" spans="1:11" x14ac:dyDescent="0.35">
      <c r="A43" t="s">
        <v>23</v>
      </c>
      <c r="B43">
        <v>2</v>
      </c>
    </row>
    <row r="44" spans="1:11" x14ac:dyDescent="0.35">
      <c r="A44" t="s">
        <v>24</v>
      </c>
      <c r="B44">
        <v>1</v>
      </c>
      <c r="C44">
        <v>4.2679999999999998</v>
      </c>
      <c r="D44">
        <v>22</v>
      </c>
      <c r="E44">
        <v>21</v>
      </c>
      <c r="F44">
        <v>220</v>
      </c>
      <c r="G44">
        <v>220</v>
      </c>
      <c r="H44">
        <v>8071</v>
      </c>
      <c r="I44">
        <v>1557.7619047619048</v>
      </c>
      <c r="J44">
        <v>1014</v>
      </c>
      <c r="K44">
        <v>1753.3052570111797</v>
      </c>
    </row>
    <row r="45" spans="1:11" x14ac:dyDescent="0.35">
      <c r="A45" t="s">
        <v>24</v>
      </c>
      <c r="B45">
        <v>2</v>
      </c>
      <c r="D45">
        <v>0</v>
      </c>
    </row>
    <row r="46" spans="1:11" x14ac:dyDescent="0.35">
      <c r="A46" t="s">
        <v>25</v>
      </c>
      <c r="B46">
        <v>1</v>
      </c>
      <c r="C46">
        <v>1.002</v>
      </c>
      <c r="D46">
        <v>123</v>
      </c>
      <c r="E46">
        <v>122</v>
      </c>
      <c r="F46">
        <v>309</v>
      </c>
      <c r="G46">
        <v>191</v>
      </c>
      <c r="H46">
        <v>1112</v>
      </c>
      <c r="I46">
        <v>365.79508196721309</v>
      </c>
      <c r="J46">
        <v>322.5</v>
      </c>
      <c r="K46">
        <v>164.47770981197812</v>
      </c>
    </row>
    <row r="47" spans="1:11" x14ac:dyDescent="0.35">
      <c r="A47" t="s">
        <v>25</v>
      </c>
      <c r="B47">
        <v>2</v>
      </c>
      <c r="C47">
        <v>2.419</v>
      </c>
      <c r="D47">
        <v>38</v>
      </c>
      <c r="E47">
        <v>37</v>
      </c>
      <c r="F47">
        <v>191</v>
      </c>
      <c r="G47">
        <v>191</v>
      </c>
      <c r="H47">
        <v>3184</v>
      </c>
      <c r="I47">
        <v>882.81081081081084</v>
      </c>
      <c r="J47">
        <v>675</v>
      </c>
      <c r="K47">
        <v>719.61426746360473</v>
      </c>
    </row>
    <row r="48" spans="1:11" x14ac:dyDescent="0.35">
      <c r="A48" t="s">
        <v>25</v>
      </c>
      <c r="B48">
        <v>3</v>
      </c>
      <c r="C48">
        <v>3.028</v>
      </c>
      <c r="D48">
        <v>7</v>
      </c>
      <c r="E48">
        <v>6</v>
      </c>
      <c r="F48">
        <v>229</v>
      </c>
      <c r="G48">
        <v>229</v>
      </c>
      <c r="H48">
        <v>3380</v>
      </c>
      <c r="I48">
        <v>1105.3333333333333</v>
      </c>
      <c r="J48">
        <v>740.5</v>
      </c>
      <c r="K48">
        <v>1044.5848723562656</v>
      </c>
    </row>
    <row r="49" spans="1:11" x14ac:dyDescent="0.35">
      <c r="A49" t="s">
        <v>26</v>
      </c>
      <c r="B49">
        <v>1</v>
      </c>
      <c r="C49">
        <v>4.7370000000000001</v>
      </c>
      <c r="D49">
        <v>23</v>
      </c>
      <c r="E49">
        <v>22</v>
      </c>
      <c r="F49">
        <v>926</v>
      </c>
      <c r="G49">
        <v>302</v>
      </c>
      <c r="H49">
        <v>7639</v>
      </c>
      <c r="I49">
        <v>1728.8636363636363</v>
      </c>
      <c r="J49">
        <v>1153</v>
      </c>
      <c r="K49">
        <v>1721.1542188430769</v>
      </c>
    </row>
    <row r="50" spans="1:11" x14ac:dyDescent="0.35">
      <c r="A50" t="s">
        <v>26</v>
      </c>
      <c r="B50">
        <v>2</v>
      </c>
      <c r="C50">
        <v>2.1070000000000002</v>
      </c>
      <c r="D50">
        <v>26</v>
      </c>
      <c r="E50">
        <v>25</v>
      </c>
      <c r="F50">
        <v>198</v>
      </c>
      <c r="G50">
        <v>198</v>
      </c>
      <c r="H50">
        <v>1915</v>
      </c>
      <c r="I50">
        <v>768.96</v>
      </c>
      <c r="J50">
        <v>690</v>
      </c>
      <c r="K50">
        <v>483.78304889692026</v>
      </c>
    </row>
    <row r="51" spans="1:11" x14ac:dyDescent="0.35">
      <c r="A51" t="s">
        <v>26</v>
      </c>
      <c r="B51">
        <v>3</v>
      </c>
      <c r="C51">
        <v>4.6139999999999999</v>
      </c>
      <c r="D51">
        <v>25</v>
      </c>
      <c r="E51">
        <v>24</v>
      </c>
      <c r="F51">
        <v>197</v>
      </c>
      <c r="G51">
        <v>197</v>
      </c>
      <c r="H51">
        <v>12472</v>
      </c>
      <c r="I51">
        <v>1684.0833333333333</v>
      </c>
      <c r="J51">
        <v>922</v>
      </c>
      <c r="K51">
        <v>2479.9733687526204</v>
      </c>
    </row>
    <row r="52" spans="1:11" x14ac:dyDescent="0.35">
      <c r="A52" t="s">
        <v>27</v>
      </c>
      <c r="B52">
        <v>1</v>
      </c>
      <c r="C52">
        <v>1.2969999999999999</v>
      </c>
      <c r="D52">
        <v>93</v>
      </c>
      <c r="E52">
        <v>92</v>
      </c>
      <c r="F52">
        <v>239</v>
      </c>
      <c r="G52">
        <v>186</v>
      </c>
      <c r="H52">
        <v>2126</v>
      </c>
      <c r="I52">
        <v>473.43478260869563</v>
      </c>
      <c r="J52">
        <v>388.5</v>
      </c>
      <c r="K52">
        <v>295.79470349595022</v>
      </c>
    </row>
    <row r="53" spans="1:11" x14ac:dyDescent="0.35">
      <c r="A53" t="s">
        <v>27</v>
      </c>
      <c r="B53">
        <v>2</v>
      </c>
      <c r="D53">
        <v>0</v>
      </c>
    </row>
    <row r="54" spans="1:11" x14ac:dyDescent="0.35">
      <c r="A54" t="s">
        <v>27</v>
      </c>
      <c r="B54">
        <v>3</v>
      </c>
      <c r="D54">
        <v>1</v>
      </c>
    </row>
    <row r="55" spans="1:11" x14ac:dyDescent="0.35">
      <c r="A55" t="s">
        <v>28</v>
      </c>
      <c r="B55">
        <v>1</v>
      </c>
      <c r="C55">
        <v>2.7970000000000002</v>
      </c>
      <c r="D55">
        <v>41</v>
      </c>
      <c r="E55">
        <v>40</v>
      </c>
      <c r="F55">
        <v>186</v>
      </c>
      <c r="G55">
        <v>186</v>
      </c>
      <c r="H55">
        <v>5961</v>
      </c>
      <c r="I55">
        <v>1020.85</v>
      </c>
      <c r="J55">
        <v>595.5</v>
      </c>
      <c r="K55">
        <v>1120.9185195633088</v>
      </c>
    </row>
    <row r="56" spans="1:11" x14ac:dyDescent="0.35">
      <c r="A56" t="s">
        <v>28</v>
      </c>
      <c r="B56">
        <v>2</v>
      </c>
      <c r="C56">
        <v>15.406000000000001</v>
      </c>
      <c r="D56">
        <v>8</v>
      </c>
      <c r="E56">
        <v>7</v>
      </c>
      <c r="F56">
        <v>661</v>
      </c>
      <c r="G56">
        <v>661</v>
      </c>
      <c r="H56">
        <v>15755</v>
      </c>
      <c r="I56">
        <v>5623.2857142857147</v>
      </c>
      <c r="J56">
        <v>2496</v>
      </c>
      <c r="K56">
        <v>5112.5242776730083</v>
      </c>
    </row>
    <row r="57" spans="1:11" x14ac:dyDescent="0.35">
      <c r="A57" t="s">
        <v>28</v>
      </c>
      <c r="B57">
        <v>3</v>
      </c>
      <c r="D57">
        <v>0</v>
      </c>
    </row>
    <row r="58" spans="1:11" x14ac:dyDescent="0.35">
      <c r="A58" t="s">
        <v>29</v>
      </c>
      <c r="B58">
        <v>1</v>
      </c>
      <c r="C58">
        <v>0.88300000000000001</v>
      </c>
      <c r="D58">
        <v>144</v>
      </c>
      <c r="E58">
        <v>143</v>
      </c>
      <c r="F58">
        <v>188</v>
      </c>
      <c r="G58">
        <v>181</v>
      </c>
      <c r="H58">
        <v>689</v>
      </c>
      <c r="I58">
        <v>322.42657342657344</v>
      </c>
      <c r="J58">
        <v>303</v>
      </c>
      <c r="K58">
        <v>102.55822085275452</v>
      </c>
    </row>
    <row r="59" spans="1:11" x14ac:dyDescent="0.35">
      <c r="A59" t="s">
        <v>29</v>
      </c>
      <c r="B59">
        <v>2</v>
      </c>
      <c r="C59">
        <v>29.341999999999999</v>
      </c>
      <c r="D59">
        <v>2</v>
      </c>
      <c r="E59">
        <v>1</v>
      </c>
      <c r="F59">
        <v>10710</v>
      </c>
      <c r="G59">
        <v>10710</v>
      </c>
      <c r="H59">
        <v>10710</v>
      </c>
      <c r="I59">
        <v>10710</v>
      </c>
      <c r="J59">
        <v>10710</v>
      </c>
      <c r="K59">
        <v>0</v>
      </c>
    </row>
    <row r="60" spans="1:11" x14ac:dyDescent="0.35">
      <c r="A60" t="s">
        <v>29</v>
      </c>
      <c r="B60">
        <v>3</v>
      </c>
      <c r="C60">
        <v>6.3369999999999997</v>
      </c>
      <c r="D60">
        <v>10</v>
      </c>
      <c r="E60">
        <v>9</v>
      </c>
      <c r="F60">
        <v>294</v>
      </c>
      <c r="G60">
        <v>294</v>
      </c>
      <c r="H60">
        <v>10017</v>
      </c>
      <c r="I60">
        <v>2313.1111111111113</v>
      </c>
      <c r="J60">
        <v>1075</v>
      </c>
      <c r="K60">
        <v>2992.387320609284</v>
      </c>
    </row>
    <row r="61" spans="1:11" x14ac:dyDescent="0.35">
      <c r="A61" t="s">
        <v>30</v>
      </c>
      <c r="B61">
        <v>1</v>
      </c>
      <c r="C61">
        <v>1.877</v>
      </c>
      <c r="D61">
        <v>65</v>
      </c>
      <c r="E61">
        <v>64</v>
      </c>
      <c r="F61">
        <v>646</v>
      </c>
      <c r="G61">
        <v>185</v>
      </c>
      <c r="H61">
        <v>5050</v>
      </c>
      <c r="I61">
        <v>685.265625</v>
      </c>
      <c r="J61">
        <v>472</v>
      </c>
      <c r="K61">
        <v>800.14335126173444</v>
      </c>
    </row>
    <row r="62" spans="1:11" x14ac:dyDescent="0.35">
      <c r="A62" t="s">
        <v>30</v>
      </c>
      <c r="B62">
        <v>2</v>
      </c>
    </row>
    <row r="63" spans="1:11" x14ac:dyDescent="0.35">
      <c r="A63" t="s">
        <v>30</v>
      </c>
      <c r="B63">
        <v>3</v>
      </c>
    </row>
    <row r="64" spans="1:11" x14ac:dyDescent="0.35">
      <c r="A64" t="s">
        <v>31</v>
      </c>
      <c r="B64">
        <v>1</v>
      </c>
      <c r="C64">
        <v>2.3330000000000002</v>
      </c>
      <c r="D64">
        <v>44</v>
      </c>
      <c r="E64">
        <v>43</v>
      </c>
      <c r="F64">
        <v>353</v>
      </c>
      <c r="G64">
        <v>183</v>
      </c>
      <c r="H64">
        <v>3741</v>
      </c>
      <c r="I64">
        <v>851.51162790697674</v>
      </c>
      <c r="J64">
        <v>572</v>
      </c>
      <c r="K64">
        <v>712.80906384016953</v>
      </c>
    </row>
    <row r="65" spans="1:11" x14ac:dyDescent="0.35">
      <c r="A65" t="s">
        <v>31</v>
      </c>
      <c r="B65">
        <v>2</v>
      </c>
      <c r="C65">
        <v>15.31</v>
      </c>
      <c r="D65">
        <v>7</v>
      </c>
      <c r="E65">
        <v>6</v>
      </c>
      <c r="F65">
        <v>391</v>
      </c>
      <c r="G65">
        <v>391</v>
      </c>
      <c r="H65">
        <v>14962</v>
      </c>
      <c r="I65">
        <v>5588</v>
      </c>
      <c r="J65">
        <v>4306</v>
      </c>
      <c r="K65">
        <v>5252.5412896996822</v>
      </c>
    </row>
    <row r="66" spans="1:11" x14ac:dyDescent="0.35">
      <c r="A66" t="s">
        <v>31</v>
      </c>
      <c r="B66">
        <v>3</v>
      </c>
      <c r="C66">
        <v>4.4260000000000002</v>
      </c>
      <c r="D66">
        <v>21</v>
      </c>
      <c r="E66">
        <v>20</v>
      </c>
      <c r="F66">
        <v>270</v>
      </c>
      <c r="G66">
        <v>270</v>
      </c>
      <c r="H66">
        <v>4391</v>
      </c>
      <c r="I66">
        <v>1615.5</v>
      </c>
      <c r="J66">
        <v>1478</v>
      </c>
      <c r="K66">
        <v>1039.5475217612709</v>
      </c>
    </row>
    <row r="67" spans="1:11" x14ac:dyDescent="0.35">
      <c r="A67" t="s">
        <v>32</v>
      </c>
      <c r="B67">
        <v>1</v>
      </c>
      <c r="C67">
        <v>0.98899999999999999</v>
      </c>
      <c r="D67">
        <v>118</v>
      </c>
      <c r="E67">
        <v>117</v>
      </c>
      <c r="F67">
        <v>187</v>
      </c>
      <c r="G67">
        <v>182</v>
      </c>
      <c r="H67">
        <v>921</v>
      </c>
      <c r="I67">
        <v>360.88888888888891</v>
      </c>
      <c r="J67">
        <v>323</v>
      </c>
      <c r="K67">
        <v>152.10189891753814</v>
      </c>
    </row>
    <row r="68" spans="1:11" x14ac:dyDescent="0.35">
      <c r="A68" t="s">
        <v>32</v>
      </c>
      <c r="B68">
        <v>2</v>
      </c>
      <c r="C68">
        <v>2.91</v>
      </c>
      <c r="D68">
        <v>38</v>
      </c>
      <c r="E68">
        <v>37</v>
      </c>
      <c r="F68">
        <v>591</v>
      </c>
      <c r="G68">
        <v>181</v>
      </c>
      <c r="H68">
        <v>3550</v>
      </c>
      <c r="I68">
        <v>1062.1891891891892</v>
      </c>
      <c r="J68">
        <v>957</v>
      </c>
      <c r="K68">
        <v>771.85549823357269</v>
      </c>
    </row>
    <row r="69" spans="1:11" x14ac:dyDescent="0.35">
      <c r="A69" t="s">
        <v>32</v>
      </c>
      <c r="B69">
        <v>3</v>
      </c>
    </row>
    <row r="70" spans="1:11" x14ac:dyDescent="0.35">
      <c r="A70" t="s">
        <v>34</v>
      </c>
      <c r="B70">
        <v>1</v>
      </c>
      <c r="C70">
        <v>27.702000000000002</v>
      </c>
      <c r="D70">
        <v>5</v>
      </c>
      <c r="E70">
        <v>4</v>
      </c>
      <c r="F70">
        <v>4952</v>
      </c>
      <c r="G70">
        <v>4952</v>
      </c>
      <c r="H70">
        <v>23164</v>
      </c>
      <c r="I70">
        <v>10111.25</v>
      </c>
      <c r="J70">
        <v>6164.5</v>
      </c>
      <c r="K70">
        <v>7556.2215880359145</v>
      </c>
    </row>
    <row r="71" spans="1:11" x14ac:dyDescent="0.35">
      <c r="A71" t="s">
        <v>34</v>
      </c>
      <c r="B71">
        <v>2</v>
      </c>
      <c r="C71">
        <v>20.088999999999999</v>
      </c>
      <c r="D71">
        <v>4</v>
      </c>
      <c r="E71">
        <v>3</v>
      </c>
      <c r="F71">
        <v>766</v>
      </c>
      <c r="G71">
        <v>766</v>
      </c>
      <c r="H71">
        <v>11703</v>
      </c>
      <c r="I71">
        <v>7332.333333333333</v>
      </c>
      <c r="J71">
        <v>9528</v>
      </c>
      <c r="K71">
        <v>4727.2406562626174</v>
      </c>
    </row>
    <row r="72" spans="1:11" x14ac:dyDescent="0.35">
      <c r="A72" t="s">
        <v>34</v>
      </c>
      <c r="B72">
        <v>3</v>
      </c>
      <c r="D72">
        <v>0</v>
      </c>
    </row>
    <row r="73" spans="1:11" x14ac:dyDescent="0.35">
      <c r="A73" t="s">
        <v>35</v>
      </c>
      <c r="B73">
        <v>1</v>
      </c>
      <c r="C73">
        <v>2.8769999999999998</v>
      </c>
      <c r="D73">
        <v>2</v>
      </c>
      <c r="E73">
        <v>1</v>
      </c>
      <c r="F73">
        <v>1050</v>
      </c>
      <c r="G73">
        <v>1050</v>
      </c>
      <c r="H73">
        <v>1050</v>
      </c>
      <c r="I73">
        <v>1050</v>
      </c>
      <c r="J73">
        <v>1050</v>
      </c>
      <c r="K73">
        <v>0</v>
      </c>
    </row>
    <row r="74" spans="1:11" x14ac:dyDescent="0.35">
      <c r="A74" t="s">
        <v>35</v>
      </c>
      <c r="B74">
        <v>2</v>
      </c>
      <c r="C74">
        <v>5.601</v>
      </c>
      <c r="D74">
        <v>3</v>
      </c>
      <c r="E74">
        <v>2</v>
      </c>
      <c r="F74">
        <v>857</v>
      </c>
      <c r="G74">
        <v>857</v>
      </c>
      <c r="H74">
        <v>3232</v>
      </c>
      <c r="I74">
        <v>2044.5</v>
      </c>
      <c r="J74">
        <v>2044.5</v>
      </c>
      <c r="K74">
        <v>1187.5</v>
      </c>
    </row>
    <row r="75" spans="1:11" x14ac:dyDescent="0.35">
      <c r="A75" t="s">
        <v>35</v>
      </c>
      <c r="B75">
        <v>3</v>
      </c>
    </row>
    <row r="76" spans="1:11" x14ac:dyDescent="0.35">
      <c r="A76" t="s">
        <v>36</v>
      </c>
      <c r="B76">
        <v>1</v>
      </c>
      <c r="D76">
        <v>0</v>
      </c>
    </row>
    <row r="77" spans="1:11" x14ac:dyDescent="0.35">
      <c r="A77" t="s">
        <v>36</v>
      </c>
      <c r="B77">
        <v>2</v>
      </c>
      <c r="D77">
        <v>1</v>
      </c>
    </row>
    <row r="78" spans="1:11" x14ac:dyDescent="0.35">
      <c r="A78" t="s">
        <v>36</v>
      </c>
      <c r="B78">
        <v>3</v>
      </c>
      <c r="D78">
        <v>0</v>
      </c>
    </row>
    <row r="79" spans="1:11" x14ac:dyDescent="0.35">
      <c r="A79" t="s">
        <v>37</v>
      </c>
      <c r="B79">
        <v>1</v>
      </c>
      <c r="C79">
        <v>12.688000000000001</v>
      </c>
      <c r="D79">
        <v>8</v>
      </c>
      <c r="E79">
        <v>7</v>
      </c>
      <c r="F79">
        <v>287</v>
      </c>
      <c r="G79">
        <v>287</v>
      </c>
      <c r="H79">
        <v>19610</v>
      </c>
      <c r="I79">
        <v>4631</v>
      </c>
      <c r="J79">
        <v>2348</v>
      </c>
      <c r="K79">
        <v>6260.9290730004968</v>
      </c>
    </row>
    <row r="80" spans="1:11" x14ac:dyDescent="0.35">
      <c r="A80" t="s">
        <v>37</v>
      </c>
      <c r="B80">
        <v>2</v>
      </c>
      <c r="D8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5DEB-4C14-4DA2-BA5B-98879D66AD0E}">
  <dimension ref="A1:K80"/>
  <sheetViews>
    <sheetView topLeftCell="A53" workbookViewId="0"/>
  </sheetViews>
  <sheetFormatPr defaultRowHeight="14.5" x14ac:dyDescent="0.35"/>
  <cols>
    <col min="1" max="1" width="16.6328125" bestFit="1" customWidth="1"/>
    <col min="2" max="2" width="11.26953125" bestFit="1" customWidth="1"/>
    <col min="3" max="3" width="10.54296875" bestFit="1" customWidth="1"/>
    <col min="4" max="4" width="18.7265625" bestFit="1" customWidth="1"/>
    <col min="5" max="5" width="11.90625" bestFit="1" customWidth="1"/>
    <col min="6" max="6" width="13.36328125" bestFit="1" customWidth="1"/>
    <col min="7" max="7" width="10.26953125" bestFit="1" customWidth="1"/>
    <col min="8" max="8" width="10.6328125" bestFit="1" customWidth="1"/>
    <col min="9" max="9" width="11.81640625" bestFit="1" customWidth="1"/>
    <col min="10" max="10" width="13.3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39</v>
      </c>
      <c r="H1" t="s">
        <v>40</v>
      </c>
      <c r="I1" t="s">
        <v>5</v>
      </c>
      <c r="J1" t="s">
        <v>6</v>
      </c>
      <c r="K1" t="s">
        <v>41</v>
      </c>
    </row>
    <row r="2" spans="1:11" x14ac:dyDescent="0.35">
      <c r="A2" t="s">
        <v>9</v>
      </c>
      <c r="B2">
        <v>1</v>
      </c>
      <c r="C2">
        <v>1.7949999999999999</v>
      </c>
      <c r="D2">
        <v>71</v>
      </c>
      <c r="E2">
        <v>70</v>
      </c>
      <c r="F2">
        <v>195</v>
      </c>
      <c r="G2">
        <v>195</v>
      </c>
      <c r="H2">
        <v>2086</v>
      </c>
      <c r="I2">
        <v>655.24285714285713</v>
      </c>
      <c r="J2">
        <v>474</v>
      </c>
      <c r="K2">
        <v>471.84060370650855</v>
      </c>
    </row>
    <row r="3" spans="1:11" x14ac:dyDescent="0.35">
      <c r="A3" t="s">
        <v>9</v>
      </c>
      <c r="B3">
        <v>2</v>
      </c>
      <c r="C3">
        <v>5.6</v>
      </c>
      <c r="D3">
        <v>23</v>
      </c>
      <c r="E3">
        <v>22</v>
      </c>
      <c r="F3">
        <v>185</v>
      </c>
      <c r="G3">
        <v>185</v>
      </c>
      <c r="H3">
        <v>9216</v>
      </c>
      <c r="I3">
        <v>2044.1363636363637</v>
      </c>
      <c r="J3">
        <v>1207</v>
      </c>
      <c r="K3">
        <v>2169.7902976901737</v>
      </c>
    </row>
    <row r="4" spans="1:11" x14ac:dyDescent="0.35">
      <c r="A4" t="s">
        <v>9</v>
      </c>
      <c r="B4">
        <v>3</v>
      </c>
      <c r="D4">
        <v>1</v>
      </c>
    </row>
    <row r="5" spans="1:11" x14ac:dyDescent="0.35">
      <c r="A5" t="s">
        <v>10</v>
      </c>
      <c r="B5">
        <v>1</v>
      </c>
      <c r="C5">
        <v>1.8129999999999999</v>
      </c>
      <c r="D5">
        <v>69</v>
      </c>
      <c r="E5">
        <v>68</v>
      </c>
      <c r="F5">
        <v>388</v>
      </c>
      <c r="G5">
        <v>204</v>
      </c>
      <c r="H5">
        <v>2696</v>
      </c>
      <c r="I5">
        <v>661.85294117647061</v>
      </c>
      <c r="J5">
        <v>470.5</v>
      </c>
      <c r="K5">
        <v>529.49105043555687</v>
      </c>
    </row>
    <row r="6" spans="1:11" x14ac:dyDescent="0.35">
      <c r="A6" t="s">
        <v>10</v>
      </c>
      <c r="B6">
        <v>2</v>
      </c>
      <c r="D6">
        <v>0</v>
      </c>
    </row>
    <row r="7" spans="1:11" x14ac:dyDescent="0.35">
      <c r="A7" t="s">
        <v>10</v>
      </c>
      <c r="B7">
        <v>3</v>
      </c>
      <c r="D7">
        <v>1</v>
      </c>
    </row>
    <row r="8" spans="1:11" x14ac:dyDescent="0.35">
      <c r="A8" t="s">
        <v>11</v>
      </c>
      <c r="B8">
        <v>1</v>
      </c>
      <c r="C8">
        <v>1.9770000000000001</v>
      </c>
      <c r="D8">
        <v>64</v>
      </c>
      <c r="E8">
        <v>63</v>
      </c>
      <c r="F8">
        <v>217</v>
      </c>
      <c r="G8">
        <v>182</v>
      </c>
      <c r="H8">
        <v>3964</v>
      </c>
      <c r="I8">
        <v>721.68253968253964</v>
      </c>
      <c r="J8">
        <v>578</v>
      </c>
      <c r="K8">
        <v>576.40086980417573</v>
      </c>
    </row>
    <row r="9" spans="1:11" x14ac:dyDescent="0.35">
      <c r="A9" t="s">
        <v>11</v>
      </c>
      <c r="B9">
        <v>2</v>
      </c>
      <c r="D9">
        <v>1</v>
      </c>
    </row>
    <row r="10" spans="1:11" x14ac:dyDescent="0.35">
      <c r="A10" t="s">
        <v>11</v>
      </c>
      <c r="B10">
        <v>3</v>
      </c>
    </row>
    <row r="11" spans="1:11" x14ac:dyDescent="0.35">
      <c r="A11" t="s">
        <v>12</v>
      </c>
      <c r="B11">
        <v>1</v>
      </c>
      <c r="C11">
        <v>3.7360000000000002</v>
      </c>
      <c r="D11">
        <v>34</v>
      </c>
      <c r="E11">
        <v>33</v>
      </c>
      <c r="F11">
        <v>238</v>
      </c>
      <c r="G11">
        <v>238</v>
      </c>
      <c r="H11">
        <v>5892</v>
      </c>
      <c r="I11">
        <v>1363.7878787878788</v>
      </c>
      <c r="J11">
        <v>921</v>
      </c>
      <c r="K11">
        <v>1262.4788208862792</v>
      </c>
    </row>
    <row r="12" spans="1:11" x14ac:dyDescent="0.35">
      <c r="A12" t="s">
        <v>12</v>
      </c>
      <c r="B12">
        <v>2</v>
      </c>
    </row>
    <row r="13" spans="1:11" x14ac:dyDescent="0.35">
      <c r="A13" t="s">
        <v>12</v>
      </c>
      <c r="B13">
        <v>3</v>
      </c>
    </row>
    <row r="14" spans="1:11" x14ac:dyDescent="0.35">
      <c r="A14" t="s">
        <v>13</v>
      </c>
      <c r="B14">
        <v>1</v>
      </c>
      <c r="C14">
        <v>2.6560000000000001</v>
      </c>
      <c r="D14">
        <v>48</v>
      </c>
      <c r="E14">
        <v>47</v>
      </c>
      <c r="F14">
        <v>205</v>
      </c>
      <c r="G14">
        <v>205</v>
      </c>
      <c r="H14">
        <v>2774</v>
      </c>
      <c r="I14">
        <v>969.59574468085111</v>
      </c>
      <c r="J14">
        <v>677</v>
      </c>
      <c r="K14">
        <v>689.9299890344862</v>
      </c>
    </row>
    <row r="15" spans="1:11" x14ac:dyDescent="0.35">
      <c r="A15" t="s">
        <v>13</v>
      </c>
      <c r="B15">
        <v>2</v>
      </c>
      <c r="C15">
        <v>14.839</v>
      </c>
      <c r="D15">
        <v>9</v>
      </c>
      <c r="E15">
        <v>8</v>
      </c>
      <c r="F15">
        <v>252</v>
      </c>
      <c r="G15">
        <v>252</v>
      </c>
      <c r="H15">
        <v>21110</v>
      </c>
      <c r="I15">
        <v>5416.375</v>
      </c>
      <c r="J15">
        <v>3937</v>
      </c>
      <c r="K15">
        <v>6390.5818384850527</v>
      </c>
    </row>
    <row r="16" spans="1:11" x14ac:dyDescent="0.35">
      <c r="A16" t="s">
        <v>13</v>
      </c>
      <c r="B16">
        <v>3</v>
      </c>
      <c r="C16">
        <v>22.334</v>
      </c>
      <c r="D16">
        <v>4</v>
      </c>
      <c r="E16">
        <v>3</v>
      </c>
      <c r="F16">
        <v>2666</v>
      </c>
      <c r="G16">
        <v>2666</v>
      </c>
      <c r="H16">
        <v>14587</v>
      </c>
      <c r="I16">
        <v>8152</v>
      </c>
      <c r="J16">
        <v>7203</v>
      </c>
      <c r="K16">
        <v>4912.773215472771</v>
      </c>
    </row>
    <row r="17" spans="1:11" x14ac:dyDescent="0.35">
      <c r="A17" t="s">
        <v>14</v>
      </c>
      <c r="B17">
        <v>1</v>
      </c>
      <c r="C17">
        <v>2.923</v>
      </c>
      <c r="D17">
        <v>43</v>
      </c>
      <c r="E17">
        <v>42</v>
      </c>
      <c r="F17">
        <v>759</v>
      </c>
      <c r="G17">
        <v>192</v>
      </c>
      <c r="H17">
        <v>3823</v>
      </c>
      <c r="I17">
        <v>1066.7142857142858</v>
      </c>
      <c r="J17">
        <v>815</v>
      </c>
      <c r="K17">
        <v>817.52930006366432</v>
      </c>
    </row>
    <row r="18" spans="1:11" x14ac:dyDescent="0.35">
      <c r="A18" t="s">
        <v>14</v>
      </c>
      <c r="B18">
        <v>2</v>
      </c>
      <c r="C18">
        <v>13.676</v>
      </c>
      <c r="D18">
        <v>9</v>
      </c>
      <c r="E18">
        <v>8</v>
      </c>
      <c r="F18">
        <v>554</v>
      </c>
      <c r="G18">
        <v>554</v>
      </c>
      <c r="H18">
        <v>20429</v>
      </c>
      <c r="I18">
        <v>4991.75</v>
      </c>
      <c r="J18">
        <v>2676.5</v>
      </c>
      <c r="K18">
        <v>6180.1021785646881</v>
      </c>
    </row>
    <row r="19" spans="1:11" x14ac:dyDescent="0.35">
      <c r="A19" t="s">
        <v>14</v>
      </c>
      <c r="B19">
        <v>3</v>
      </c>
      <c r="D19">
        <v>0</v>
      </c>
    </row>
    <row r="20" spans="1:11" x14ac:dyDescent="0.35">
      <c r="A20" t="s">
        <v>15</v>
      </c>
      <c r="B20">
        <v>1</v>
      </c>
      <c r="C20">
        <v>41.741</v>
      </c>
      <c r="D20">
        <v>3</v>
      </c>
      <c r="E20">
        <v>2</v>
      </c>
      <c r="F20">
        <v>15004</v>
      </c>
      <c r="G20">
        <v>15004</v>
      </c>
      <c r="H20">
        <v>15467</v>
      </c>
      <c r="I20">
        <v>15235.5</v>
      </c>
      <c r="J20">
        <v>15235.5</v>
      </c>
      <c r="K20">
        <v>231.5</v>
      </c>
    </row>
    <row r="21" spans="1:11" x14ac:dyDescent="0.35">
      <c r="A21" t="s">
        <v>15</v>
      </c>
      <c r="B21">
        <v>2</v>
      </c>
      <c r="D21">
        <v>0</v>
      </c>
    </row>
    <row r="22" spans="1:11" x14ac:dyDescent="0.35">
      <c r="A22" t="s">
        <v>15</v>
      </c>
      <c r="B22">
        <v>3</v>
      </c>
      <c r="D22">
        <v>0</v>
      </c>
    </row>
    <row r="23" spans="1:11" x14ac:dyDescent="0.35">
      <c r="A23" t="s">
        <v>16</v>
      </c>
      <c r="B23">
        <v>1</v>
      </c>
      <c r="C23">
        <v>22.126000000000001</v>
      </c>
      <c r="D23">
        <v>6</v>
      </c>
      <c r="E23">
        <v>5</v>
      </c>
      <c r="F23">
        <v>3000</v>
      </c>
      <c r="G23">
        <v>3000</v>
      </c>
      <c r="H23">
        <v>12093</v>
      </c>
      <c r="I23">
        <v>8076</v>
      </c>
      <c r="J23">
        <v>7853</v>
      </c>
      <c r="K23">
        <v>3150.4272091257717</v>
      </c>
    </row>
    <row r="24" spans="1:11" x14ac:dyDescent="0.35">
      <c r="A24" t="s">
        <v>16</v>
      </c>
      <c r="B24">
        <v>2</v>
      </c>
      <c r="D24">
        <v>1</v>
      </c>
    </row>
    <row r="25" spans="1:11" x14ac:dyDescent="0.35">
      <c r="A25" t="s">
        <v>16</v>
      </c>
      <c r="B25">
        <v>3</v>
      </c>
    </row>
    <row r="26" spans="1:11" x14ac:dyDescent="0.35">
      <c r="A26" t="s">
        <v>17</v>
      </c>
      <c r="B26">
        <v>1</v>
      </c>
      <c r="C26">
        <v>2.262</v>
      </c>
      <c r="D26">
        <v>56</v>
      </c>
      <c r="E26">
        <v>55</v>
      </c>
      <c r="F26">
        <v>447</v>
      </c>
      <c r="G26">
        <v>204</v>
      </c>
      <c r="H26">
        <v>3267</v>
      </c>
      <c r="I26">
        <v>825.56363636363642</v>
      </c>
      <c r="J26">
        <v>615</v>
      </c>
      <c r="K26">
        <v>692.80181512559739</v>
      </c>
    </row>
    <row r="27" spans="1:11" x14ac:dyDescent="0.35">
      <c r="A27" t="s">
        <v>17</v>
      </c>
      <c r="B27">
        <v>2</v>
      </c>
      <c r="C27">
        <v>34.287999999999997</v>
      </c>
      <c r="D27">
        <v>4</v>
      </c>
      <c r="E27">
        <v>3</v>
      </c>
      <c r="F27">
        <v>4235</v>
      </c>
      <c r="G27">
        <v>4235</v>
      </c>
      <c r="H27">
        <v>19255</v>
      </c>
      <c r="I27">
        <v>12515</v>
      </c>
      <c r="J27">
        <v>14055</v>
      </c>
      <c r="K27">
        <v>6227.8300126662625</v>
      </c>
    </row>
    <row r="28" spans="1:11" x14ac:dyDescent="0.35">
      <c r="A28" t="s">
        <v>17</v>
      </c>
      <c r="B28">
        <v>3</v>
      </c>
      <c r="C28">
        <v>31.968</v>
      </c>
      <c r="D28">
        <v>3</v>
      </c>
      <c r="E28">
        <v>2</v>
      </c>
      <c r="F28">
        <v>229</v>
      </c>
      <c r="G28">
        <v>229</v>
      </c>
      <c r="H28">
        <v>23108</v>
      </c>
      <c r="I28">
        <v>11668.5</v>
      </c>
      <c r="J28">
        <v>11668.5</v>
      </c>
      <c r="K28">
        <v>11439.5</v>
      </c>
    </row>
    <row r="29" spans="1:11" x14ac:dyDescent="0.35">
      <c r="A29" t="s">
        <v>18</v>
      </c>
      <c r="B29">
        <v>1</v>
      </c>
      <c r="C29">
        <v>17.356999999999999</v>
      </c>
      <c r="D29">
        <v>8</v>
      </c>
      <c r="E29">
        <v>7</v>
      </c>
      <c r="F29">
        <v>1583</v>
      </c>
      <c r="G29">
        <v>1583</v>
      </c>
      <c r="H29">
        <v>13592</v>
      </c>
      <c r="I29">
        <v>6335.4285714285716</v>
      </c>
      <c r="J29">
        <v>4432</v>
      </c>
      <c r="K29">
        <v>4602.3306473736866</v>
      </c>
    </row>
    <row r="30" spans="1:11" x14ac:dyDescent="0.35">
      <c r="A30" t="s">
        <v>18</v>
      </c>
      <c r="B30">
        <v>2</v>
      </c>
      <c r="C30">
        <v>37.381999999999998</v>
      </c>
      <c r="D30">
        <v>3</v>
      </c>
      <c r="E30">
        <v>2</v>
      </c>
      <c r="F30">
        <v>7902</v>
      </c>
      <c r="G30">
        <v>7902</v>
      </c>
      <c r="H30">
        <v>19387</v>
      </c>
      <c r="I30">
        <v>13644.5</v>
      </c>
      <c r="J30">
        <v>13644.5</v>
      </c>
      <c r="K30">
        <v>5742.5</v>
      </c>
    </row>
    <row r="31" spans="1:11" x14ac:dyDescent="0.35">
      <c r="A31" t="s">
        <v>18</v>
      </c>
      <c r="B31">
        <v>3</v>
      </c>
      <c r="D31">
        <v>0</v>
      </c>
    </row>
    <row r="32" spans="1:11" x14ac:dyDescent="0.35">
      <c r="A32" t="s">
        <v>19</v>
      </c>
      <c r="B32">
        <v>1</v>
      </c>
      <c r="C32">
        <v>23.003</v>
      </c>
      <c r="D32">
        <v>4</v>
      </c>
      <c r="E32">
        <v>3</v>
      </c>
      <c r="F32">
        <v>306</v>
      </c>
      <c r="G32">
        <v>306</v>
      </c>
      <c r="H32">
        <v>23404</v>
      </c>
      <c r="I32">
        <v>8396</v>
      </c>
      <c r="J32">
        <v>1478</v>
      </c>
      <c r="K32">
        <v>10623.0392386862</v>
      </c>
    </row>
    <row r="33" spans="1:11" x14ac:dyDescent="0.35">
      <c r="A33" t="s">
        <v>19</v>
      </c>
      <c r="B33">
        <v>2</v>
      </c>
      <c r="C33">
        <v>26.568000000000001</v>
      </c>
      <c r="D33">
        <v>4</v>
      </c>
      <c r="E33">
        <v>3</v>
      </c>
      <c r="F33">
        <v>6583</v>
      </c>
      <c r="G33">
        <v>6583</v>
      </c>
      <c r="H33">
        <v>14428</v>
      </c>
      <c r="I33">
        <v>9697.3333333333339</v>
      </c>
      <c r="J33">
        <v>8081</v>
      </c>
      <c r="K33">
        <v>3400.5299913722602</v>
      </c>
    </row>
    <row r="34" spans="1:11" x14ac:dyDescent="0.35">
      <c r="A34" t="s">
        <v>19</v>
      </c>
      <c r="B34">
        <v>3</v>
      </c>
      <c r="D34">
        <v>1</v>
      </c>
    </row>
    <row r="35" spans="1:11" x14ac:dyDescent="0.35">
      <c r="A35" t="s">
        <v>20</v>
      </c>
      <c r="B35">
        <v>1</v>
      </c>
      <c r="D35">
        <v>0</v>
      </c>
    </row>
    <row r="36" spans="1:11" x14ac:dyDescent="0.35">
      <c r="A36" t="s">
        <v>20</v>
      </c>
      <c r="B36">
        <v>2</v>
      </c>
      <c r="D36">
        <v>0</v>
      </c>
    </row>
    <row r="37" spans="1:11" x14ac:dyDescent="0.35">
      <c r="A37" t="s">
        <v>20</v>
      </c>
      <c r="B37">
        <v>3</v>
      </c>
      <c r="D37">
        <v>1</v>
      </c>
    </row>
    <row r="38" spans="1:11" x14ac:dyDescent="0.35">
      <c r="A38" t="s">
        <v>21</v>
      </c>
      <c r="B38">
        <v>1</v>
      </c>
      <c r="C38">
        <v>14.725</v>
      </c>
      <c r="D38">
        <v>8</v>
      </c>
      <c r="E38">
        <v>7</v>
      </c>
      <c r="F38">
        <v>182</v>
      </c>
      <c r="G38">
        <v>182</v>
      </c>
      <c r="H38">
        <v>12994</v>
      </c>
      <c r="I38">
        <v>5374.5714285714284</v>
      </c>
      <c r="J38">
        <v>4420</v>
      </c>
      <c r="K38">
        <v>4011.7408354244726</v>
      </c>
    </row>
    <row r="39" spans="1:11" x14ac:dyDescent="0.35">
      <c r="A39" t="s">
        <v>21</v>
      </c>
      <c r="B39">
        <v>2</v>
      </c>
    </row>
    <row r="40" spans="1:11" x14ac:dyDescent="0.35">
      <c r="A40" t="s">
        <v>21</v>
      </c>
      <c r="B40">
        <v>3</v>
      </c>
    </row>
    <row r="41" spans="1:11" x14ac:dyDescent="0.35">
      <c r="A41" t="s">
        <v>22</v>
      </c>
      <c r="B41">
        <v>1</v>
      </c>
      <c r="C41">
        <v>16.286000000000001</v>
      </c>
      <c r="D41">
        <v>8</v>
      </c>
      <c r="E41">
        <v>7</v>
      </c>
      <c r="F41">
        <v>778</v>
      </c>
      <c r="G41">
        <v>778</v>
      </c>
      <c r="H41">
        <v>18291</v>
      </c>
      <c r="I41">
        <v>5944.5714285714284</v>
      </c>
      <c r="J41">
        <v>4244</v>
      </c>
      <c r="K41">
        <v>5357.2246774704117</v>
      </c>
    </row>
    <row r="42" spans="1:11" x14ac:dyDescent="0.35">
      <c r="A42" t="s">
        <v>23</v>
      </c>
      <c r="B42">
        <v>1</v>
      </c>
      <c r="C42">
        <v>11.228</v>
      </c>
      <c r="D42">
        <v>11</v>
      </c>
      <c r="E42">
        <v>10</v>
      </c>
      <c r="F42">
        <v>393</v>
      </c>
      <c r="G42">
        <v>393</v>
      </c>
      <c r="H42">
        <v>10184</v>
      </c>
      <c r="I42">
        <v>4098.3999999999996</v>
      </c>
      <c r="J42">
        <v>2887</v>
      </c>
      <c r="K42">
        <v>3341.0472669508881</v>
      </c>
    </row>
    <row r="43" spans="1:11" x14ac:dyDescent="0.35">
      <c r="A43" t="s">
        <v>23</v>
      </c>
      <c r="B43">
        <v>2</v>
      </c>
    </row>
    <row r="44" spans="1:11" x14ac:dyDescent="0.35">
      <c r="A44" t="s">
        <v>24</v>
      </c>
      <c r="B44">
        <v>1</v>
      </c>
      <c r="C44">
        <v>1.7150000000000001</v>
      </c>
      <c r="D44">
        <v>2</v>
      </c>
      <c r="E44">
        <v>1</v>
      </c>
      <c r="F44">
        <v>626</v>
      </c>
      <c r="G44">
        <v>626</v>
      </c>
      <c r="H44">
        <v>626</v>
      </c>
      <c r="I44">
        <v>626</v>
      </c>
      <c r="J44">
        <v>626</v>
      </c>
      <c r="K44">
        <v>0</v>
      </c>
    </row>
    <row r="45" spans="1:11" x14ac:dyDescent="0.35">
      <c r="A45" t="s">
        <v>24</v>
      </c>
      <c r="B45">
        <v>2</v>
      </c>
      <c r="D45">
        <v>0</v>
      </c>
    </row>
    <row r="46" spans="1:11" x14ac:dyDescent="0.35">
      <c r="A46" t="s">
        <v>25</v>
      </c>
      <c r="B46">
        <v>1</v>
      </c>
      <c r="C46">
        <v>2.8</v>
      </c>
      <c r="D46">
        <v>44</v>
      </c>
      <c r="E46">
        <v>43</v>
      </c>
      <c r="F46">
        <v>737</v>
      </c>
      <c r="G46">
        <v>194</v>
      </c>
      <c r="H46">
        <v>3229</v>
      </c>
      <c r="I46">
        <v>1022.1395348837209</v>
      </c>
      <c r="J46">
        <v>737</v>
      </c>
      <c r="K46">
        <v>737.53226437568992</v>
      </c>
    </row>
    <row r="47" spans="1:11" x14ac:dyDescent="0.35">
      <c r="A47" t="s">
        <v>25</v>
      </c>
      <c r="B47">
        <v>2</v>
      </c>
      <c r="D47">
        <v>0</v>
      </c>
    </row>
    <row r="48" spans="1:11" x14ac:dyDescent="0.35">
      <c r="A48" t="s">
        <v>25</v>
      </c>
      <c r="B48">
        <v>3</v>
      </c>
      <c r="D48">
        <v>0</v>
      </c>
    </row>
    <row r="49" spans="1:11" x14ac:dyDescent="0.35">
      <c r="A49" t="s">
        <v>26</v>
      </c>
      <c r="B49">
        <v>1</v>
      </c>
      <c r="C49">
        <v>57.344999999999999</v>
      </c>
      <c r="D49">
        <v>2</v>
      </c>
      <c r="E49">
        <v>1</v>
      </c>
      <c r="F49">
        <v>20931</v>
      </c>
      <c r="G49">
        <v>20931</v>
      </c>
      <c r="H49">
        <v>20931</v>
      </c>
      <c r="I49">
        <v>20931</v>
      </c>
      <c r="J49">
        <v>20931</v>
      </c>
      <c r="K49">
        <v>0</v>
      </c>
    </row>
    <row r="50" spans="1:11" x14ac:dyDescent="0.35">
      <c r="A50" t="s">
        <v>26</v>
      </c>
      <c r="B50">
        <v>2</v>
      </c>
      <c r="C50">
        <v>6.5620000000000003</v>
      </c>
      <c r="D50">
        <v>3</v>
      </c>
      <c r="E50">
        <v>2</v>
      </c>
      <c r="F50">
        <v>2245</v>
      </c>
      <c r="G50">
        <v>2245</v>
      </c>
      <c r="H50">
        <v>2545</v>
      </c>
      <c r="I50">
        <v>2395</v>
      </c>
      <c r="J50">
        <v>2395</v>
      </c>
      <c r="K50">
        <v>150</v>
      </c>
    </row>
    <row r="51" spans="1:11" x14ac:dyDescent="0.35">
      <c r="A51" t="s">
        <v>26</v>
      </c>
      <c r="B51">
        <v>3</v>
      </c>
      <c r="C51">
        <v>16.356000000000002</v>
      </c>
      <c r="D51">
        <v>7</v>
      </c>
      <c r="E51">
        <v>6</v>
      </c>
      <c r="F51">
        <v>1292</v>
      </c>
      <c r="G51">
        <v>1292</v>
      </c>
      <c r="H51">
        <v>12472</v>
      </c>
      <c r="I51">
        <v>5969.833333333333</v>
      </c>
      <c r="J51">
        <v>4202</v>
      </c>
      <c r="K51">
        <v>4040.4190961114696</v>
      </c>
    </row>
    <row r="52" spans="1:11" x14ac:dyDescent="0.35">
      <c r="A52" t="s">
        <v>27</v>
      </c>
      <c r="B52">
        <v>1</v>
      </c>
      <c r="C52">
        <v>3.6819999999999999</v>
      </c>
      <c r="D52">
        <v>33</v>
      </c>
      <c r="E52">
        <v>32</v>
      </c>
      <c r="F52">
        <v>193</v>
      </c>
      <c r="G52">
        <v>193</v>
      </c>
      <c r="H52">
        <v>3325</v>
      </c>
      <c r="I52">
        <v>1344</v>
      </c>
      <c r="J52">
        <v>1211</v>
      </c>
      <c r="K52">
        <v>867.70527110303988</v>
      </c>
    </row>
    <row r="53" spans="1:11" x14ac:dyDescent="0.35">
      <c r="A53" t="s">
        <v>27</v>
      </c>
      <c r="B53">
        <v>2</v>
      </c>
      <c r="D53">
        <v>0</v>
      </c>
    </row>
    <row r="54" spans="1:11" x14ac:dyDescent="0.35">
      <c r="A54" t="s">
        <v>27</v>
      </c>
      <c r="B54">
        <v>3</v>
      </c>
      <c r="D54">
        <v>0</v>
      </c>
    </row>
    <row r="55" spans="1:11" x14ac:dyDescent="0.35">
      <c r="A55" t="s">
        <v>28</v>
      </c>
      <c r="B55">
        <v>1</v>
      </c>
      <c r="C55">
        <v>6.96</v>
      </c>
      <c r="D55">
        <v>4</v>
      </c>
      <c r="E55">
        <v>3</v>
      </c>
      <c r="F55">
        <v>334</v>
      </c>
      <c r="G55">
        <v>334</v>
      </c>
      <c r="H55">
        <v>4411</v>
      </c>
      <c r="I55">
        <v>2540.3333333333335</v>
      </c>
      <c r="J55">
        <v>2876</v>
      </c>
      <c r="K55">
        <v>1681.2666521273643</v>
      </c>
    </row>
    <row r="56" spans="1:11" x14ac:dyDescent="0.35">
      <c r="A56" t="s">
        <v>28</v>
      </c>
      <c r="B56">
        <v>2</v>
      </c>
      <c r="C56">
        <v>49.476999999999997</v>
      </c>
      <c r="D56">
        <v>2</v>
      </c>
      <c r="E56">
        <v>1</v>
      </c>
      <c r="F56">
        <v>18059</v>
      </c>
      <c r="G56">
        <v>18059</v>
      </c>
      <c r="H56">
        <v>18059</v>
      </c>
      <c r="I56">
        <v>18059</v>
      </c>
      <c r="J56">
        <v>18059</v>
      </c>
      <c r="K56">
        <v>0</v>
      </c>
    </row>
    <row r="57" spans="1:11" x14ac:dyDescent="0.35">
      <c r="A57" t="s">
        <v>28</v>
      </c>
      <c r="B57">
        <v>3</v>
      </c>
      <c r="D57">
        <v>0</v>
      </c>
    </row>
    <row r="58" spans="1:11" x14ac:dyDescent="0.35">
      <c r="A58" t="s">
        <v>29</v>
      </c>
      <c r="B58">
        <v>1</v>
      </c>
      <c r="C58">
        <v>1.4350000000000001</v>
      </c>
      <c r="D58">
        <v>89</v>
      </c>
      <c r="E58">
        <v>88</v>
      </c>
      <c r="F58">
        <v>188</v>
      </c>
      <c r="G58">
        <v>188</v>
      </c>
      <c r="H58">
        <v>2124</v>
      </c>
      <c r="I58">
        <v>523.94318181818187</v>
      </c>
      <c r="J58">
        <v>428.5</v>
      </c>
      <c r="K58">
        <v>361.87288570443883</v>
      </c>
    </row>
    <row r="59" spans="1:11" x14ac:dyDescent="0.35">
      <c r="A59" t="s">
        <v>29</v>
      </c>
      <c r="B59">
        <v>2</v>
      </c>
      <c r="D59">
        <v>0</v>
      </c>
    </row>
    <row r="60" spans="1:11" x14ac:dyDescent="0.35">
      <c r="A60" t="s">
        <v>29</v>
      </c>
      <c r="B60">
        <v>3</v>
      </c>
      <c r="D60">
        <v>1</v>
      </c>
    </row>
    <row r="61" spans="1:11" x14ac:dyDescent="0.35">
      <c r="A61" t="s">
        <v>30</v>
      </c>
      <c r="B61">
        <v>1</v>
      </c>
      <c r="C61">
        <v>14.541</v>
      </c>
      <c r="D61">
        <v>9</v>
      </c>
      <c r="E61">
        <v>8</v>
      </c>
      <c r="F61">
        <v>1050</v>
      </c>
      <c r="G61">
        <v>1050</v>
      </c>
      <c r="H61">
        <v>16939</v>
      </c>
      <c r="I61">
        <v>5307.5</v>
      </c>
      <c r="J61">
        <v>4078.5</v>
      </c>
      <c r="K61">
        <v>4681.7918311261983</v>
      </c>
    </row>
    <row r="62" spans="1:11" x14ac:dyDescent="0.35">
      <c r="A62" t="s">
        <v>30</v>
      </c>
      <c r="B62">
        <v>2</v>
      </c>
    </row>
    <row r="63" spans="1:11" x14ac:dyDescent="0.35">
      <c r="A63" t="s">
        <v>30</v>
      </c>
      <c r="B63">
        <v>3</v>
      </c>
    </row>
    <row r="64" spans="1:11" x14ac:dyDescent="0.35">
      <c r="A64" t="s">
        <v>31</v>
      </c>
      <c r="B64">
        <v>1</v>
      </c>
      <c r="D64">
        <v>0</v>
      </c>
    </row>
    <row r="65" spans="1:11" x14ac:dyDescent="0.35">
      <c r="A65" t="s">
        <v>31</v>
      </c>
      <c r="B65">
        <v>2</v>
      </c>
      <c r="D65">
        <v>0</v>
      </c>
    </row>
    <row r="66" spans="1:11" x14ac:dyDescent="0.35">
      <c r="A66" t="s">
        <v>31</v>
      </c>
      <c r="B66">
        <v>3</v>
      </c>
      <c r="C66">
        <v>12.898999999999999</v>
      </c>
      <c r="D66">
        <v>3</v>
      </c>
      <c r="E66">
        <v>2</v>
      </c>
      <c r="F66">
        <v>1119</v>
      </c>
      <c r="G66">
        <v>1119</v>
      </c>
      <c r="H66">
        <v>8297</v>
      </c>
      <c r="I66">
        <v>4708</v>
      </c>
      <c r="J66">
        <v>4708</v>
      </c>
      <c r="K66">
        <v>3589</v>
      </c>
    </row>
    <row r="67" spans="1:11" x14ac:dyDescent="0.35">
      <c r="A67" t="s">
        <v>32</v>
      </c>
      <c r="B67">
        <v>1</v>
      </c>
      <c r="C67">
        <v>3.32</v>
      </c>
      <c r="D67">
        <v>35</v>
      </c>
      <c r="E67">
        <v>34</v>
      </c>
      <c r="F67">
        <v>199</v>
      </c>
      <c r="G67">
        <v>199</v>
      </c>
      <c r="H67">
        <v>3713</v>
      </c>
      <c r="I67">
        <v>1211.9705882352941</v>
      </c>
      <c r="J67">
        <v>940.5</v>
      </c>
      <c r="K67">
        <v>828.46816422536608</v>
      </c>
    </row>
    <row r="68" spans="1:11" x14ac:dyDescent="0.35">
      <c r="A68" t="s">
        <v>32</v>
      </c>
      <c r="B68">
        <v>2</v>
      </c>
      <c r="C68">
        <v>7.0629999999999997</v>
      </c>
      <c r="D68">
        <v>11</v>
      </c>
      <c r="E68">
        <v>10</v>
      </c>
      <c r="F68">
        <v>459</v>
      </c>
      <c r="G68">
        <v>459</v>
      </c>
      <c r="H68">
        <v>5508</v>
      </c>
      <c r="I68">
        <v>2577.9</v>
      </c>
      <c r="J68">
        <v>2932</v>
      </c>
      <c r="K68">
        <v>1715.7623640819259</v>
      </c>
    </row>
    <row r="69" spans="1:11" x14ac:dyDescent="0.35">
      <c r="A69" t="s">
        <v>32</v>
      </c>
      <c r="B69">
        <v>3</v>
      </c>
    </row>
    <row r="70" spans="1:11" x14ac:dyDescent="0.35">
      <c r="A70" t="s">
        <v>34</v>
      </c>
      <c r="B70">
        <v>1</v>
      </c>
      <c r="D70">
        <v>0</v>
      </c>
    </row>
    <row r="71" spans="1:11" x14ac:dyDescent="0.35">
      <c r="A71" t="s">
        <v>34</v>
      </c>
      <c r="B71">
        <v>2</v>
      </c>
      <c r="D71">
        <v>1</v>
      </c>
    </row>
    <row r="72" spans="1:11" x14ac:dyDescent="0.35">
      <c r="A72" t="s">
        <v>34</v>
      </c>
      <c r="B72">
        <v>3</v>
      </c>
      <c r="D72">
        <v>0</v>
      </c>
    </row>
    <row r="73" spans="1:11" x14ac:dyDescent="0.35">
      <c r="A73" t="s">
        <v>35</v>
      </c>
      <c r="B73">
        <v>1</v>
      </c>
      <c r="D73">
        <v>0</v>
      </c>
    </row>
    <row r="74" spans="1:11" x14ac:dyDescent="0.35">
      <c r="A74" t="s">
        <v>35</v>
      </c>
      <c r="B74">
        <v>2</v>
      </c>
      <c r="D74">
        <v>0</v>
      </c>
    </row>
    <row r="75" spans="1:11" x14ac:dyDescent="0.35">
      <c r="A75" t="s">
        <v>35</v>
      </c>
      <c r="B75">
        <v>3</v>
      </c>
    </row>
    <row r="76" spans="1:11" x14ac:dyDescent="0.35">
      <c r="A76" t="s">
        <v>36</v>
      </c>
      <c r="B76">
        <v>1</v>
      </c>
      <c r="D76">
        <v>0</v>
      </c>
    </row>
    <row r="77" spans="1:11" x14ac:dyDescent="0.35">
      <c r="A77" t="s">
        <v>36</v>
      </c>
      <c r="B77">
        <v>2</v>
      </c>
      <c r="D77">
        <v>0</v>
      </c>
    </row>
    <row r="78" spans="1:11" x14ac:dyDescent="0.35">
      <c r="A78" t="s">
        <v>36</v>
      </c>
      <c r="B78">
        <v>3</v>
      </c>
      <c r="D78">
        <v>0</v>
      </c>
    </row>
    <row r="79" spans="1:11" x14ac:dyDescent="0.35">
      <c r="A79" t="s">
        <v>37</v>
      </c>
      <c r="B79">
        <v>1</v>
      </c>
      <c r="D79">
        <v>0</v>
      </c>
    </row>
    <row r="80" spans="1:11" x14ac:dyDescent="0.35">
      <c r="A80" t="s">
        <v>37</v>
      </c>
      <c r="B80">
        <v>2</v>
      </c>
      <c r="D8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381C-0C7A-4E0A-8301-846457C30CE3}">
  <dimension ref="A1:K80"/>
  <sheetViews>
    <sheetView workbookViewId="0"/>
  </sheetViews>
  <sheetFormatPr defaultRowHeight="14.5" x14ac:dyDescent="0.35"/>
  <cols>
    <col min="1" max="1" width="16.6328125" bestFit="1" customWidth="1"/>
    <col min="2" max="2" width="11.26953125" bestFit="1" customWidth="1"/>
    <col min="3" max="3" width="10.54296875" bestFit="1" customWidth="1"/>
    <col min="4" max="4" width="18.7265625" bestFit="1" customWidth="1"/>
    <col min="5" max="5" width="11.90625" bestFit="1" customWidth="1"/>
    <col min="6" max="6" width="13.36328125" bestFit="1" customWidth="1"/>
    <col min="7" max="7" width="10.26953125" bestFit="1" customWidth="1"/>
    <col min="8" max="8" width="10.6328125" bestFit="1" customWidth="1"/>
    <col min="9" max="9" width="11.81640625" bestFit="1" customWidth="1"/>
    <col min="10" max="10" width="13.3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39</v>
      </c>
      <c r="H1" t="s">
        <v>40</v>
      </c>
      <c r="I1" t="s">
        <v>5</v>
      </c>
      <c r="J1" t="s">
        <v>6</v>
      </c>
      <c r="K1" t="s">
        <v>41</v>
      </c>
    </row>
    <row r="2" spans="1:11" x14ac:dyDescent="0.35">
      <c r="A2" t="s">
        <v>9</v>
      </c>
      <c r="B2">
        <v>1</v>
      </c>
      <c r="C2">
        <v>13.199</v>
      </c>
      <c r="D2">
        <v>9</v>
      </c>
      <c r="E2">
        <v>8</v>
      </c>
      <c r="F2">
        <v>743</v>
      </c>
      <c r="G2">
        <v>743</v>
      </c>
      <c r="H2">
        <v>12915</v>
      </c>
      <c r="I2">
        <v>4817.75</v>
      </c>
      <c r="J2">
        <v>3511</v>
      </c>
      <c r="K2">
        <v>3868.1618615952461</v>
      </c>
    </row>
    <row r="3" spans="1:11" x14ac:dyDescent="0.35">
      <c r="A3" t="s">
        <v>9</v>
      </c>
      <c r="B3">
        <v>2</v>
      </c>
      <c r="C3">
        <v>26.888000000000002</v>
      </c>
      <c r="D3">
        <v>2</v>
      </c>
      <c r="E3">
        <v>1</v>
      </c>
      <c r="F3">
        <v>9814</v>
      </c>
      <c r="G3">
        <v>9814</v>
      </c>
      <c r="H3">
        <v>9814</v>
      </c>
      <c r="I3">
        <v>9814</v>
      </c>
      <c r="J3">
        <v>9814</v>
      </c>
      <c r="K3">
        <v>0</v>
      </c>
    </row>
    <row r="4" spans="1:11" x14ac:dyDescent="0.35">
      <c r="A4" t="s">
        <v>9</v>
      </c>
      <c r="B4">
        <v>3</v>
      </c>
      <c r="D4">
        <v>0</v>
      </c>
    </row>
    <row r="5" spans="1:11" x14ac:dyDescent="0.35">
      <c r="A5" t="s">
        <v>10</v>
      </c>
      <c r="B5">
        <v>1</v>
      </c>
      <c r="C5">
        <v>32.453000000000003</v>
      </c>
      <c r="D5">
        <v>3</v>
      </c>
      <c r="E5">
        <v>2</v>
      </c>
      <c r="F5">
        <v>4617</v>
      </c>
      <c r="G5">
        <v>4617</v>
      </c>
      <c r="H5">
        <v>19074</v>
      </c>
      <c r="I5">
        <v>11845.5</v>
      </c>
      <c r="J5">
        <v>11845.5</v>
      </c>
      <c r="K5">
        <v>7228.5</v>
      </c>
    </row>
    <row r="6" spans="1:11" x14ac:dyDescent="0.35">
      <c r="A6" t="s">
        <v>10</v>
      </c>
      <c r="B6">
        <v>2</v>
      </c>
      <c r="D6">
        <v>0</v>
      </c>
    </row>
    <row r="7" spans="1:11" x14ac:dyDescent="0.35">
      <c r="A7" t="s">
        <v>10</v>
      </c>
      <c r="B7">
        <v>3</v>
      </c>
      <c r="D7">
        <v>0</v>
      </c>
    </row>
    <row r="8" spans="1:11" x14ac:dyDescent="0.35">
      <c r="A8" t="s">
        <v>11</v>
      </c>
      <c r="B8">
        <v>1</v>
      </c>
      <c r="C8">
        <v>21.908999999999999</v>
      </c>
      <c r="D8">
        <v>4</v>
      </c>
      <c r="E8">
        <v>3</v>
      </c>
      <c r="F8">
        <v>2069</v>
      </c>
      <c r="G8">
        <v>2069</v>
      </c>
      <c r="H8">
        <v>17764</v>
      </c>
      <c r="I8">
        <v>7996.666666666667</v>
      </c>
      <c r="J8">
        <v>4157</v>
      </c>
      <c r="K8">
        <v>6958.9528107483393</v>
      </c>
    </row>
    <row r="9" spans="1:11" x14ac:dyDescent="0.35">
      <c r="A9" t="s">
        <v>11</v>
      </c>
      <c r="B9">
        <v>2</v>
      </c>
      <c r="D9">
        <v>0</v>
      </c>
    </row>
    <row r="10" spans="1:11" x14ac:dyDescent="0.35">
      <c r="A10" t="s">
        <v>11</v>
      </c>
      <c r="B10">
        <v>3</v>
      </c>
    </row>
    <row r="11" spans="1:11" x14ac:dyDescent="0.35">
      <c r="A11" t="s">
        <v>12</v>
      </c>
      <c r="B11">
        <v>1</v>
      </c>
      <c r="C11">
        <v>20.678999999999998</v>
      </c>
      <c r="D11">
        <v>6</v>
      </c>
      <c r="E11">
        <v>5</v>
      </c>
      <c r="F11">
        <v>250</v>
      </c>
      <c r="G11">
        <v>250</v>
      </c>
      <c r="H11">
        <v>31780</v>
      </c>
      <c r="I11">
        <v>7548</v>
      </c>
      <c r="J11">
        <v>2136</v>
      </c>
      <c r="K11">
        <v>12154.016669397817</v>
      </c>
    </row>
    <row r="12" spans="1:11" x14ac:dyDescent="0.35">
      <c r="A12" t="s">
        <v>12</v>
      </c>
      <c r="B12">
        <v>2</v>
      </c>
    </row>
    <row r="13" spans="1:11" x14ac:dyDescent="0.35">
      <c r="A13" t="s">
        <v>12</v>
      </c>
      <c r="B13">
        <v>3</v>
      </c>
    </row>
    <row r="14" spans="1:11" x14ac:dyDescent="0.35">
      <c r="A14" t="s">
        <v>13</v>
      </c>
      <c r="B14">
        <v>1</v>
      </c>
      <c r="C14">
        <v>16.555</v>
      </c>
      <c r="D14">
        <v>6</v>
      </c>
      <c r="E14">
        <v>5</v>
      </c>
      <c r="F14">
        <v>2576</v>
      </c>
      <c r="G14">
        <v>2576</v>
      </c>
      <c r="H14">
        <v>12867</v>
      </c>
      <c r="I14">
        <v>6042.4</v>
      </c>
      <c r="J14">
        <v>3995</v>
      </c>
      <c r="K14">
        <v>3952.0305464406524</v>
      </c>
    </row>
    <row r="15" spans="1:11" x14ac:dyDescent="0.35">
      <c r="A15" t="s">
        <v>13</v>
      </c>
      <c r="B15">
        <v>2</v>
      </c>
      <c r="D15">
        <v>0</v>
      </c>
    </row>
    <row r="16" spans="1:11" x14ac:dyDescent="0.35">
      <c r="A16" t="s">
        <v>13</v>
      </c>
      <c r="B16">
        <v>3</v>
      </c>
      <c r="D16">
        <v>0</v>
      </c>
    </row>
    <row r="17" spans="1:11" x14ac:dyDescent="0.35">
      <c r="A17" t="s">
        <v>14</v>
      </c>
      <c r="B17">
        <v>1</v>
      </c>
      <c r="C17">
        <v>28.440999999999999</v>
      </c>
      <c r="D17">
        <v>4</v>
      </c>
      <c r="E17">
        <v>3</v>
      </c>
      <c r="F17">
        <v>3672</v>
      </c>
      <c r="G17">
        <v>3672</v>
      </c>
      <c r="H17">
        <v>19466</v>
      </c>
      <c r="I17">
        <v>10381</v>
      </c>
      <c r="J17">
        <v>8005</v>
      </c>
      <c r="K17">
        <v>6663.1644634262675</v>
      </c>
    </row>
    <row r="18" spans="1:11" x14ac:dyDescent="0.35">
      <c r="A18" t="s">
        <v>14</v>
      </c>
      <c r="B18">
        <v>2</v>
      </c>
      <c r="D18">
        <v>0</v>
      </c>
    </row>
    <row r="19" spans="1:11" x14ac:dyDescent="0.35">
      <c r="A19" t="s">
        <v>14</v>
      </c>
      <c r="B19">
        <v>3</v>
      </c>
      <c r="D19">
        <v>0</v>
      </c>
    </row>
    <row r="20" spans="1:11" x14ac:dyDescent="0.35">
      <c r="A20" t="s">
        <v>15</v>
      </c>
      <c r="B20">
        <v>1</v>
      </c>
      <c r="D20">
        <v>0</v>
      </c>
    </row>
    <row r="21" spans="1:11" x14ac:dyDescent="0.35">
      <c r="A21" t="s">
        <v>15</v>
      </c>
      <c r="B21">
        <v>2</v>
      </c>
      <c r="D21">
        <v>0</v>
      </c>
    </row>
    <row r="22" spans="1:11" x14ac:dyDescent="0.35">
      <c r="A22" t="s">
        <v>15</v>
      </c>
      <c r="B22">
        <v>3</v>
      </c>
      <c r="D22">
        <v>0</v>
      </c>
    </row>
    <row r="23" spans="1:11" x14ac:dyDescent="0.35">
      <c r="A23" t="s">
        <v>16</v>
      </c>
      <c r="B23">
        <v>1</v>
      </c>
      <c r="D23">
        <v>0</v>
      </c>
    </row>
    <row r="24" spans="1:11" x14ac:dyDescent="0.35">
      <c r="A24" t="s">
        <v>16</v>
      </c>
      <c r="B24">
        <v>2</v>
      </c>
      <c r="D24">
        <v>0</v>
      </c>
    </row>
    <row r="25" spans="1:11" x14ac:dyDescent="0.35">
      <c r="A25" t="s">
        <v>16</v>
      </c>
      <c r="B25">
        <v>3</v>
      </c>
    </row>
    <row r="26" spans="1:11" x14ac:dyDescent="0.35">
      <c r="A26" t="s">
        <v>17</v>
      </c>
      <c r="B26">
        <v>1</v>
      </c>
      <c r="C26">
        <v>14.754</v>
      </c>
      <c r="D26">
        <v>9</v>
      </c>
      <c r="E26">
        <v>8</v>
      </c>
      <c r="F26">
        <v>1610</v>
      </c>
      <c r="G26">
        <v>1610</v>
      </c>
      <c r="H26">
        <v>11314</v>
      </c>
      <c r="I26">
        <v>5385.125</v>
      </c>
      <c r="J26">
        <v>4232</v>
      </c>
      <c r="K26">
        <v>3662.4270449218507</v>
      </c>
    </row>
    <row r="27" spans="1:11" x14ac:dyDescent="0.35">
      <c r="A27" t="s">
        <v>17</v>
      </c>
      <c r="B27">
        <v>2</v>
      </c>
      <c r="D27">
        <v>0</v>
      </c>
    </row>
    <row r="28" spans="1:11" x14ac:dyDescent="0.35">
      <c r="A28" t="s">
        <v>17</v>
      </c>
      <c r="B28">
        <v>3</v>
      </c>
      <c r="D28">
        <v>0</v>
      </c>
    </row>
    <row r="29" spans="1:11" x14ac:dyDescent="0.35">
      <c r="A29" t="s">
        <v>18</v>
      </c>
      <c r="B29">
        <v>1</v>
      </c>
      <c r="D29">
        <v>0</v>
      </c>
    </row>
    <row r="30" spans="1:11" x14ac:dyDescent="0.35">
      <c r="A30" t="s">
        <v>18</v>
      </c>
      <c r="B30">
        <v>2</v>
      </c>
      <c r="D30">
        <v>0</v>
      </c>
    </row>
    <row r="31" spans="1:11" x14ac:dyDescent="0.35">
      <c r="A31" t="s">
        <v>18</v>
      </c>
      <c r="B31">
        <v>3</v>
      </c>
      <c r="D31">
        <v>0</v>
      </c>
    </row>
    <row r="32" spans="1:11" x14ac:dyDescent="0.35">
      <c r="A32" t="s">
        <v>19</v>
      </c>
      <c r="B32">
        <v>1</v>
      </c>
      <c r="D32">
        <v>0</v>
      </c>
    </row>
    <row r="33" spans="1:11" x14ac:dyDescent="0.35">
      <c r="A33" t="s">
        <v>19</v>
      </c>
      <c r="B33">
        <v>2</v>
      </c>
      <c r="D33">
        <v>0</v>
      </c>
    </row>
    <row r="34" spans="1:11" x14ac:dyDescent="0.35">
      <c r="A34" t="s">
        <v>19</v>
      </c>
      <c r="B34">
        <v>3</v>
      </c>
      <c r="D34">
        <v>0</v>
      </c>
    </row>
    <row r="35" spans="1:11" x14ac:dyDescent="0.35">
      <c r="A35" t="s">
        <v>20</v>
      </c>
      <c r="B35">
        <v>1</v>
      </c>
      <c r="D35">
        <v>0</v>
      </c>
    </row>
    <row r="36" spans="1:11" x14ac:dyDescent="0.35">
      <c r="A36" t="s">
        <v>20</v>
      </c>
      <c r="B36">
        <v>2</v>
      </c>
      <c r="D36">
        <v>0</v>
      </c>
    </row>
    <row r="37" spans="1:11" x14ac:dyDescent="0.35">
      <c r="A37" t="s">
        <v>20</v>
      </c>
      <c r="B37">
        <v>3</v>
      </c>
      <c r="D37">
        <v>0</v>
      </c>
    </row>
    <row r="38" spans="1:11" x14ac:dyDescent="0.35">
      <c r="A38" t="s">
        <v>21</v>
      </c>
      <c r="B38">
        <v>1</v>
      </c>
      <c r="D38">
        <v>0</v>
      </c>
    </row>
    <row r="39" spans="1:11" x14ac:dyDescent="0.35">
      <c r="A39" t="s">
        <v>21</v>
      </c>
      <c r="B39">
        <v>2</v>
      </c>
    </row>
    <row r="40" spans="1:11" x14ac:dyDescent="0.35">
      <c r="A40" t="s">
        <v>21</v>
      </c>
      <c r="B40">
        <v>3</v>
      </c>
    </row>
    <row r="41" spans="1:11" x14ac:dyDescent="0.35">
      <c r="A41" t="s">
        <v>22</v>
      </c>
      <c r="B41">
        <v>1</v>
      </c>
      <c r="D41">
        <v>0</v>
      </c>
    </row>
    <row r="42" spans="1:11" x14ac:dyDescent="0.35">
      <c r="A42" t="s">
        <v>23</v>
      </c>
      <c r="B42">
        <v>1</v>
      </c>
      <c r="D42">
        <v>0</v>
      </c>
    </row>
    <row r="43" spans="1:11" x14ac:dyDescent="0.35">
      <c r="A43" t="s">
        <v>23</v>
      </c>
      <c r="B43">
        <v>2</v>
      </c>
    </row>
    <row r="44" spans="1:11" x14ac:dyDescent="0.35">
      <c r="A44" t="s">
        <v>24</v>
      </c>
      <c r="B44">
        <v>1</v>
      </c>
      <c r="D44">
        <v>0</v>
      </c>
    </row>
    <row r="45" spans="1:11" x14ac:dyDescent="0.35">
      <c r="A45" t="s">
        <v>24</v>
      </c>
      <c r="B45">
        <v>2</v>
      </c>
      <c r="D45">
        <v>0</v>
      </c>
    </row>
    <row r="46" spans="1:11" x14ac:dyDescent="0.35">
      <c r="A46" t="s">
        <v>25</v>
      </c>
      <c r="B46">
        <v>1</v>
      </c>
      <c r="C46">
        <v>10.916</v>
      </c>
      <c r="D46">
        <v>11</v>
      </c>
      <c r="E46">
        <v>10</v>
      </c>
      <c r="F46">
        <v>533</v>
      </c>
      <c r="G46">
        <v>533</v>
      </c>
      <c r="H46">
        <v>9051</v>
      </c>
      <c r="I46">
        <v>3984.2</v>
      </c>
      <c r="J46">
        <v>3626.5</v>
      </c>
      <c r="K46">
        <v>2570.099912454767</v>
      </c>
    </row>
    <row r="47" spans="1:11" x14ac:dyDescent="0.35">
      <c r="A47" t="s">
        <v>25</v>
      </c>
      <c r="B47">
        <v>2</v>
      </c>
      <c r="D47">
        <v>0</v>
      </c>
    </row>
    <row r="48" spans="1:11" x14ac:dyDescent="0.35">
      <c r="A48" t="s">
        <v>25</v>
      </c>
      <c r="B48">
        <v>3</v>
      </c>
      <c r="D48">
        <v>0</v>
      </c>
    </row>
    <row r="49" spans="1:11" x14ac:dyDescent="0.35">
      <c r="A49" t="s">
        <v>26</v>
      </c>
      <c r="B49">
        <v>1</v>
      </c>
      <c r="D49">
        <v>0</v>
      </c>
    </row>
    <row r="50" spans="1:11" x14ac:dyDescent="0.35">
      <c r="A50" t="s">
        <v>26</v>
      </c>
      <c r="B50">
        <v>2</v>
      </c>
      <c r="D50">
        <v>0</v>
      </c>
    </row>
    <row r="51" spans="1:11" x14ac:dyDescent="0.35">
      <c r="A51" t="s">
        <v>26</v>
      </c>
      <c r="B51">
        <v>3</v>
      </c>
      <c r="D51">
        <v>1</v>
      </c>
    </row>
    <row r="52" spans="1:11" x14ac:dyDescent="0.35">
      <c r="A52" t="s">
        <v>27</v>
      </c>
      <c r="B52">
        <v>1</v>
      </c>
      <c r="C52">
        <v>17.553000000000001</v>
      </c>
      <c r="D52">
        <v>7</v>
      </c>
      <c r="E52">
        <v>6</v>
      </c>
      <c r="F52">
        <v>822</v>
      </c>
      <c r="G52">
        <v>822</v>
      </c>
      <c r="H52">
        <v>12668</v>
      </c>
      <c r="I52">
        <v>6406.666666666667</v>
      </c>
      <c r="J52">
        <v>6561</v>
      </c>
      <c r="K52">
        <v>4244.0122002128546</v>
      </c>
    </row>
    <row r="53" spans="1:11" x14ac:dyDescent="0.35">
      <c r="A53" t="s">
        <v>27</v>
      </c>
      <c r="B53">
        <v>2</v>
      </c>
      <c r="D53">
        <v>0</v>
      </c>
    </row>
    <row r="54" spans="1:11" x14ac:dyDescent="0.35">
      <c r="A54" t="s">
        <v>27</v>
      </c>
      <c r="B54">
        <v>3</v>
      </c>
      <c r="D54">
        <v>0</v>
      </c>
    </row>
    <row r="55" spans="1:11" x14ac:dyDescent="0.35">
      <c r="A55" t="s">
        <v>28</v>
      </c>
      <c r="B55">
        <v>1</v>
      </c>
      <c r="D55">
        <v>0</v>
      </c>
    </row>
    <row r="56" spans="1:11" x14ac:dyDescent="0.35">
      <c r="A56" t="s">
        <v>28</v>
      </c>
      <c r="B56">
        <v>2</v>
      </c>
      <c r="D56">
        <v>0</v>
      </c>
    </row>
    <row r="57" spans="1:11" x14ac:dyDescent="0.35">
      <c r="A57" t="s">
        <v>28</v>
      </c>
      <c r="B57">
        <v>3</v>
      </c>
      <c r="D57">
        <v>0</v>
      </c>
    </row>
    <row r="58" spans="1:11" x14ac:dyDescent="0.35">
      <c r="A58" t="s">
        <v>29</v>
      </c>
      <c r="B58">
        <v>1</v>
      </c>
      <c r="C58">
        <v>11.195</v>
      </c>
      <c r="D58">
        <v>10</v>
      </c>
      <c r="E58">
        <v>9</v>
      </c>
      <c r="F58">
        <v>447</v>
      </c>
      <c r="G58">
        <v>447</v>
      </c>
      <c r="H58">
        <v>8719</v>
      </c>
      <c r="I58">
        <v>4086.2222222222222</v>
      </c>
      <c r="J58">
        <v>3235</v>
      </c>
      <c r="K58">
        <v>3104.0810333701656</v>
      </c>
    </row>
    <row r="59" spans="1:11" x14ac:dyDescent="0.35">
      <c r="A59" t="s">
        <v>29</v>
      </c>
      <c r="B59">
        <v>2</v>
      </c>
      <c r="D59">
        <v>0</v>
      </c>
    </row>
    <row r="60" spans="1:11" x14ac:dyDescent="0.35">
      <c r="A60" t="s">
        <v>29</v>
      </c>
      <c r="B60">
        <v>3</v>
      </c>
      <c r="D60">
        <v>0</v>
      </c>
    </row>
    <row r="61" spans="1:11" x14ac:dyDescent="0.35">
      <c r="A61" t="s">
        <v>30</v>
      </c>
      <c r="B61">
        <v>1</v>
      </c>
      <c r="D61">
        <v>0</v>
      </c>
    </row>
    <row r="62" spans="1:11" x14ac:dyDescent="0.35">
      <c r="A62" t="s">
        <v>30</v>
      </c>
      <c r="B62">
        <v>2</v>
      </c>
    </row>
    <row r="63" spans="1:11" x14ac:dyDescent="0.35">
      <c r="A63" t="s">
        <v>30</v>
      </c>
      <c r="B63">
        <v>3</v>
      </c>
    </row>
    <row r="64" spans="1:11" x14ac:dyDescent="0.35">
      <c r="A64" t="s">
        <v>31</v>
      </c>
      <c r="B64">
        <v>1</v>
      </c>
      <c r="D64">
        <v>0</v>
      </c>
    </row>
    <row r="65" spans="1:11" x14ac:dyDescent="0.35">
      <c r="A65" t="s">
        <v>31</v>
      </c>
      <c r="B65">
        <v>2</v>
      </c>
      <c r="D65">
        <v>0</v>
      </c>
    </row>
    <row r="66" spans="1:11" x14ac:dyDescent="0.35">
      <c r="A66" t="s">
        <v>31</v>
      </c>
      <c r="B66">
        <v>3</v>
      </c>
      <c r="D66">
        <v>0</v>
      </c>
    </row>
    <row r="67" spans="1:11" x14ac:dyDescent="0.35">
      <c r="A67" t="s">
        <v>32</v>
      </c>
      <c r="B67">
        <v>1</v>
      </c>
      <c r="C67">
        <v>51.956000000000003</v>
      </c>
      <c r="D67">
        <v>3</v>
      </c>
      <c r="E67">
        <v>2</v>
      </c>
      <c r="F67">
        <v>16486</v>
      </c>
      <c r="G67">
        <v>16486</v>
      </c>
      <c r="H67">
        <v>21442</v>
      </c>
      <c r="I67">
        <v>18964</v>
      </c>
      <c r="J67">
        <v>18964</v>
      </c>
      <c r="K67">
        <v>2478</v>
      </c>
    </row>
    <row r="68" spans="1:11" x14ac:dyDescent="0.35">
      <c r="A68" t="s">
        <v>32</v>
      </c>
      <c r="B68">
        <v>2</v>
      </c>
      <c r="D68">
        <v>0</v>
      </c>
    </row>
    <row r="69" spans="1:11" x14ac:dyDescent="0.35">
      <c r="A69" t="s">
        <v>32</v>
      </c>
      <c r="B69">
        <v>3</v>
      </c>
    </row>
    <row r="70" spans="1:11" x14ac:dyDescent="0.35">
      <c r="A70" t="s">
        <v>34</v>
      </c>
      <c r="B70">
        <v>1</v>
      </c>
      <c r="D70">
        <v>0</v>
      </c>
    </row>
    <row r="71" spans="1:11" x14ac:dyDescent="0.35">
      <c r="A71" t="s">
        <v>34</v>
      </c>
      <c r="B71">
        <v>2</v>
      </c>
      <c r="D71">
        <v>0</v>
      </c>
    </row>
    <row r="72" spans="1:11" x14ac:dyDescent="0.35">
      <c r="A72" t="s">
        <v>34</v>
      </c>
      <c r="B72">
        <v>3</v>
      </c>
      <c r="D72">
        <v>0</v>
      </c>
    </row>
    <row r="73" spans="1:11" x14ac:dyDescent="0.35">
      <c r="A73" t="s">
        <v>35</v>
      </c>
      <c r="B73">
        <v>1</v>
      </c>
      <c r="D73">
        <v>0</v>
      </c>
    </row>
    <row r="74" spans="1:11" x14ac:dyDescent="0.35">
      <c r="A74" t="s">
        <v>35</v>
      </c>
      <c r="B74">
        <v>2</v>
      </c>
      <c r="D74">
        <v>0</v>
      </c>
    </row>
    <row r="75" spans="1:11" x14ac:dyDescent="0.35">
      <c r="A75" t="s">
        <v>35</v>
      </c>
      <c r="B75">
        <v>3</v>
      </c>
    </row>
    <row r="76" spans="1:11" x14ac:dyDescent="0.35">
      <c r="A76" t="s">
        <v>36</v>
      </c>
      <c r="B76">
        <v>1</v>
      </c>
      <c r="D76">
        <v>0</v>
      </c>
    </row>
    <row r="77" spans="1:11" x14ac:dyDescent="0.35">
      <c r="A77" t="s">
        <v>36</v>
      </c>
      <c r="B77">
        <v>2</v>
      </c>
      <c r="D77">
        <v>0</v>
      </c>
    </row>
    <row r="78" spans="1:11" x14ac:dyDescent="0.35">
      <c r="A78" t="s">
        <v>36</v>
      </c>
      <c r="B78">
        <v>3</v>
      </c>
      <c r="D78">
        <v>0</v>
      </c>
    </row>
    <row r="79" spans="1:11" x14ac:dyDescent="0.35">
      <c r="A79" t="s">
        <v>37</v>
      </c>
      <c r="B79">
        <v>1</v>
      </c>
      <c r="D79">
        <v>0</v>
      </c>
    </row>
    <row r="80" spans="1:11" x14ac:dyDescent="0.35">
      <c r="A80" t="s">
        <v>37</v>
      </c>
      <c r="B80">
        <v>2</v>
      </c>
      <c r="D8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0065B-A1B3-4B50-A137-DB9A66465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7</vt:lpstr>
      <vt:lpstr>LSP_All</vt:lpstr>
      <vt:lpstr>NFFT_All</vt:lpstr>
      <vt:lpstr>statistics-M4</vt:lpstr>
      <vt:lpstr>Table 8</vt:lpstr>
      <vt:lpstr>statistics-M5</vt:lpstr>
      <vt:lpstr>statistics-M6</vt:lpstr>
      <vt:lpstr>statistics-M7</vt:lpstr>
      <vt:lpstr>statistics-M8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</dc:creator>
  <cp:lastModifiedBy>Eddie h</cp:lastModifiedBy>
  <dcterms:created xsi:type="dcterms:W3CDTF">2026-07-21T07:26:08Z</dcterms:created>
  <dcterms:modified xsi:type="dcterms:W3CDTF">2026-08-12T08:32:09Z</dcterms:modified>
</cp:coreProperties>
</file>