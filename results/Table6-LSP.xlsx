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_edd\Desktop\Paper Earthquake\Projectv3-combine-all\result\"/>
    </mc:Choice>
  </mc:AlternateContent>
  <xr:revisionPtr revIDLastSave="0" documentId="13_ncr:1_{06233223-970E-4F66-8160-4303384574DD}" xr6:coauthVersionLast="47" xr6:coauthVersionMax="47" xr10:uidLastSave="{00000000-0000-0000-0000-000000000000}"/>
  <bookViews>
    <workbookView xWindow="-110" yWindow="-110" windowWidth="19420" windowHeight="12220" xr2:uid="{968A9C51-55EF-4642-A43E-730CC2993D21}"/>
  </bookViews>
  <sheets>
    <sheet name="results_v1" sheetId="1" r:id="rId1"/>
    <sheet name="LSP-M4" sheetId="9" r:id="rId2"/>
    <sheet name="LSP-M5" sheetId="10" r:id="rId3"/>
    <sheet name="LSP-M6" sheetId="11" r:id="rId4"/>
    <sheet name="LSP-M7" sheetId="12" r:id="rId5"/>
    <sheet name="LSP-M8" sheetId="13" r:id="rId6"/>
    <sheet name="Sheet1" sheetId="8" r:id="rId7"/>
  </sheets>
  <definedNames>
    <definedName name="ExternalData_1" localSheetId="1" hidden="1">'LSP-M4'!$B$1:$I$69</definedName>
    <definedName name="ExternalData_1" localSheetId="2" hidden="1">'LSP-M5'!$B$1:$I$69</definedName>
    <definedName name="ExternalData_1" localSheetId="3" hidden="1">'LSP-M6'!$B$1:$I$62</definedName>
    <definedName name="ExternalData_1" localSheetId="4" hidden="1">'LSP-M7'!$B$1:$I$47</definedName>
    <definedName name="ExternalData_1" localSheetId="5" hidden="1">'LSP-M8'!$B$1:$I$41</definedName>
  </definedNames>
  <calcPr calcId="191029"/>
</workbook>
</file>

<file path=xl/calcChain.xml><?xml version="1.0" encoding="utf-8"?>
<calcChain xmlns="http://schemas.openxmlformats.org/spreadsheetml/2006/main">
  <c r="E2" i="1" l="1"/>
  <c r="D3" i="1"/>
  <c r="D6" i="1"/>
  <c r="D7" i="1"/>
  <c r="D8" i="1"/>
  <c r="D9" i="1"/>
  <c r="E3" i="1"/>
  <c r="E4" i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2" i="13"/>
  <c r="G3" i="1" s="1"/>
  <c r="A3" i="12"/>
  <c r="F45" i="1" s="1"/>
  <c r="A4" i="12"/>
  <c r="A5" i="12"/>
  <c r="A6" i="12"/>
  <c r="A7" i="12"/>
  <c r="F42" i="1" s="1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2" i="12"/>
  <c r="F13" i="1" s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2" i="11"/>
  <c r="A3" i="10"/>
  <c r="A4" i="10"/>
  <c r="A5" i="10"/>
  <c r="A6" i="10"/>
  <c r="A7" i="10"/>
  <c r="A8" i="10"/>
  <c r="A9" i="10"/>
  <c r="A10" i="10"/>
  <c r="D42" i="1" s="1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2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2" i="9"/>
  <c r="G17" i="1" l="1"/>
  <c r="G32" i="1"/>
  <c r="G34" i="1"/>
  <c r="G7" i="1"/>
  <c r="G50" i="1"/>
  <c r="G65" i="1"/>
  <c r="G16" i="1"/>
  <c r="G47" i="1"/>
  <c r="G62" i="1"/>
  <c r="G43" i="1"/>
  <c r="G58" i="1"/>
  <c r="G41" i="1"/>
  <c r="G25" i="1"/>
  <c r="G9" i="1"/>
  <c r="G56" i="1"/>
  <c r="G40" i="1"/>
  <c r="G24" i="1"/>
  <c r="G8" i="1"/>
  <c r="G18" i="1"/>
  <c r="G49" i="1"/>
  <c r="G31" i="1"/>
  <c r="G46" i="1"/>
  <c r="G13" i="1"/>
  <c r="G60" i="1"/>
  <c r="G11" i="1"/>
  <c r="G26" i="1"/>
  <c r="G23" i="1"/>
  <c r="G2" i="1"/>
  <c r="G54" i="1"/>
  <c r="G38" i="1"/>
  <c r="G22" i="1"/>
  <c r="G6" i="1"/>
  <c r="G33" i="1"/>
  <c r="G48" i="1"/>
  <c r="G63" i="1"/>
  <c r="G14" i="1"/>
  <c r="G61" i="1"/>
  <c r="G28" i="1"/>
  <c r="G27" i="1"/>
  <c r="G57" i="1"/>
  <c r="G55" i="1"/>
  <c r="G69" i="1"/>
  <c r="G53" i="1"/>
  <c r="G37" i="1"/>
  <c r="G21" i="1"/>
  <c r="G5" i="1"/>
  <c r="G66" i="1"/>
  <c r="G64" i="1"/>
  <c r="G15" i="1"/>
  <c r="G29" i="1"/>
  <c r="G44" i="1"/>
  <c r="G59" i="1"/>
  <c r="G10" i="1"/>
  <c r="G39" i="1"/>
  <c r="G68" i="1"/>
  <c r="G52" i="1"/>
  <c r="G36" i="1"/>
  <c r="G20" i="1"/>
  <c r="G4" i="1"/>
  <c r="G30" i="1"/>
  <c r="G45" i="1"/>
  <c r="G12" i="1"/>
  <c r="G42" i="1"/>
  <c r="G67" i="1"/>
  <c r="G51" i="1"/>
  <c r="G35" i="1"/>
  <c r="G19" i="1"/>
  <c r="F61" i="1"/>
  <c r="F29" i="1"/>
  <c r="F12" i="1"/>
  <c r="F11" i="1"/>
  <c r="F38" i="1"/>
  <c r="F60" i="1"/>
  <c r="F28" i="1"/>
  <c r="F52" i="1"/>
  <c r="F14" i="1"/>
  <c r="F10" i="1"/>
  <c r="F59" i="1"/>
  <c r="F43" i="1"/>
  <c r="F26" i="1"/>
  <c r="F57" i="1"/>
  <c r="F41" i="1"/>
  <c r="F25" i="1"/>
  <c r="F9" i="1"/>
  <c r="F56" i="1"/>
  <c r="F40" i="1"/>
  <c r="F24" i="1"/>
  <c r="F8" i="1"/>
  <c r="F55" i="1"/>
  <c r="F39" i="1"/>
  <c r="F23" i="1"/>
  <c r="F7" i="1"/>
  <c r="F27" i="1"/>
  <c r="F22" i="1"/>
  <c r="F21" i="1"/>
  <c r="F68" i="1"/>
  <c r="F3" i="1"/>
  <c r="F2" i="1"/>
  <c r="F44" i="1"/>
  <c r="F58" i="1"/>
  <c r="F6" i="1"/>
  <c r="F69" i="1"/>
  <c r="F36" i="1"/>
  <c r="F51" i="1"/>
  <c r="F18" i="1"/>
  <c r="F65" i="1"/>
  <c r="F49" i="1"/>
  <c r="F33" i="1"/>
  <c r="F17" i="1"/>
  <c r="F5" i="1"/>
  <c r="F4" i="1"/>
  <c r="F35" i="1"/>
  <c r="F34" i="1"/>
  <c r="F64" i="1"/>
  <c r="F48" i="1"/>
  <c r="F32" i="1"/>
  <c r="F16" i="1"/>
  <c r="F54" i="1"/>
  <c r="F37" i="1"/>
  <c r="F20" i="1"/>
  <c r="F67" i="1"/>
  <c r="F50" i="1"/>
  <c r="F63" i="1"/>
  <c r="F47" i="1"/>
  <c r="F31" i="1"/>
  <c r="F15" i="1"/>
  <c r="F53" i="1"/>
  <c r="F19" i="1"/>
  <c r="F66" i="1"/>
  <c r="F62" i="1"/>
  <c r="F46" i="1"/>
  <c r="F30" i="1"/>
  <c r="E18" i="1"/>
  <c r="E45" i="1"/>
  <c r="E66" i="1"/>
  <c r="E46" i="1"/>
  <c r="E5" i="1"/>
  <c r="E20" i="1"/>
  <c r="E57" i="1"/>
  <c r="E36" i="1"/>
  <c r="E35" i="1"/>
  <c r="E34" i="1"/>
  <c r="E65" i="1"/>
  <c r="E49" i="1"/>
  <c r="E33" i="1"/>
  <c r="E17" i="1"/>
  <c r="E64" i="1"/>
  <c r="E48" i="1"/>
  <c r="E32" i="1"/>
  <c r="E16" i="1"/>
  <c r="E63" i="1"/>
  <c r="E47" i="1"/>
  <c r="E31" i="1"/>
  <c r="E15" i="1"/>
  <c r="E68" i="1"/>
  <c r="E51" i="1"/>
  <c r="E59" i="1"/>
  <c r="E27" i="1"/>
  <c r="E11" i="1"/>
  <c r="E58" i="1"/>
  <c r="E42" i="1"/>
  <c r="E26" i="1"/>
  <c r="E10" i="1"/>
  <c r="E52" i="1"/>
  <c r="E19" i="1"/>
  <c r="E50" i="1"/>
  <c r="E14" i="1"/>
  <c r="E29" i="1"/>
  <c r="E12" i="1"/>
  <c r="E43" i="1"/>
  <c r="E25" i="1"/>
  <c r="E56" i="1"/>
  <c r="E40" i="1"/>
  <c r="E24" i="1"/>
  <c r="E8" i="1"/>
  <c r="E67" i="1"/>
  <c r="E62" i="1"/>
  <c r="E61" i="1"/>
  <c r="E28" i="1"/>
  <c r="E41" i="1"/>
  <c r="E55" i="1"/>
  <c r="E39" i="1"/>
  <c r="E23" i="1"/>
  <c r="E7" i="1"/>
  <c r="E30" i="1"/>
  <c r="E13" i="1"/>
  <c r="E60" i="1"/>
  <c r="E9" i="1"/>
  <c r="E54" i="1"/>
  <c r="E38" i="1"/>
  <c r="E22" i="1"/>
  <c r="E6" i="1"/>
  <c r="E44" i="1"/>
  <c r="E69" i="1"/>
  <c r="E53" i="1"/>
  <c r="E37" i="1"/>
  <c r="E21" i="1"/>
  <c r="D10" i="1"/>
  <c r="D11" i="1"/>
  <c r="D5" i="1"/>
  <c r="D4" i="1"/>
  <c r="D56" i="1"/>
  <c r="D33" i="1"/>
  <c r="D40" i="1"/>
  <c r="D39" i="1"/>
  <c r="D22" i="1"/>
  <c r="D2" i="1"/>
  <c r="D34" i="1"/>
  <c r="D37" i="1"/>
  <c r="D57" i="1"/>
  <c r="D25" i="1"/>
  <c r="D23" i="1"/>
  <c r="D38" i="1"/>
  <c r="D53" i="1"/>
  <c r="D36" i="1"/>
  <c r="D51" i="1"/>
  <c r="D66" i="1"/>
  <c r="D65" i="1"/>
  <c r="D64" i="1"/>
  <c r="D47" i="1"/>
  <c r="D62" i="1"/>
  <c r="D46" i="1"/>
  <c r="D30" i="1"/>
  <c r="D14" i="1"/>
  <c r="D55" i="1"/>
  <c r="D54" i="1"/>
  <c r="D69" i="1"/>
  <c r="D21" i="1"/>
  <c r="D68" i="1"/>
  <c r="D20" i="1"/>
  <c r="D67" i="1"/>
  <c r="D19" i="1"/>
  <c r="D50" i="1"/>
  <c r="D49" i="1"/>
  <c r="D16" i="1"/>
  <c r="D15" i="1"/>
  <c r="D61" i="1"/>
  <c r="D45" i="1"/>
  <c r="D29" i="1"/>
  <c r="D13" i="1"/>
  <c r="D52" i="1"/>
  <c r="D18" i="1"/>
  <c r="D17" i="1"/>
  <c r="D32" i="1"/>
  <c r="D63" i="1"/>
  <c r="D60" i="1"/>
  <c r="D44" i="1"/>
  <c r="D28" i="1"/>
  <c r="D12" i="1"/>
  <c r="D41" i="1"/>
  <c r="D24" i="1"/>
  <c r="D35" i="1"/>
  <c r="D48" i="1"/>
  <c r="D31" i="1"/>
  <c r="D59" i="1"/>
  <c r="D43" i="1"/>
  <c r="D27" i="1"/>
  <c r="D58" i="1"/>
  <c r="D26" i="1"/>
  <c r="C11" i="1"/>
  <c r="C42" i="1"/>
  <c r="C39" i="1"/>
  <c r="C6" i="1"/>
  <c r="C5" i="1"/>
  <c r="C36" i="1"/>
  <c r="C51" i="1"/>
  <c r="C66" i="1"/>
  <c r="C50" i="1"/>
  <c r="C34" i="1"/>
  <c r="C18" i="1"/>
  <c r="C2" i="1"/>
  <c r="C65" i="1"/>
  <c r="C49" i="1"/>
  <c r="C33" i="1"/>
  <c r="C17" i="1"/>
  <c r="C26" i="1"/>
  <c r="C9" i="1"/>
  <c r="C24" i="1"/>
  <c r="C23" i="1"/>
  <c r="C22" i="1"/>
  <c r="C21" i="1"/>
  <c r="C68" i="1"/>
  <c r="C19" i="1"/>
  <c r="C16" i="1"/>
  <c r="C47" i="1"/>
  <c r="C62" i="1"/>
  <c r="C46" i="1"/>
  <c r="C30" i="1"/>
  <c r="C14" i="1"/>
  <c r="C10" i="1"/>
  <c r="C25" i="1"/>
  <c r="C8" i="1"/>
  <c r="C55" i="1"/>
  <c r="C38" i="1"/>
  <c r="C53" i="1"/>
  <c r="C20" i="1"/>
  <c r="C67" i="1"/>
  <c r="C64" i="1"/>
  <c r="C63" i="1"/>
  <c r="C61" i="1"/>
  <c r="C45" i="1"/>
  <c r="C29" i="1"/>
  <c r="C13" i="1"/>
  <c r="C58" i="1"/>
  <c r="C41" i="1"/>
  <c r="C56" i="1"/>
  <c r="C54" i="1"/>
  <c r="C37" i="1"/>
  <c r="C4" i="1"/>
  <c r="C35" i="1"/>
  <c r="C48" i="1"/>
  <c r="C15" i="1"/>
  <c r="C60" i="1"/>
  <c r="C44" i="1"/>
  <c r="C28" i="1"/>
  <c r="C12" i="1"/>
  <c r="C57" i="1"/>
  <c r="C40" i="1"/>
  <c r="C7" i="1"/>
  <c r="C69" i="1"/>
  <c r="C52" i="1"/>
  <c r="C3" i="1"/>
  <c r="C32" i="1"/>
  <c r="C31" i="1"/>
  <c r="C59" i="1"/>
  <c r="C43" i="1"/>
  <c r="C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46A46-28B9-400D-BE9F-A658014074A8}" keepAlive="1" name="Query - LSP-M4" description="Connection to the 'LSP-M4' query in the workbook." type="5" refreshedVersion="8" background="1" saveData="1">
    <dbPr connection="Provider=Microsoft.Mashup.OleDb.1;Data Source=$Workbook$;Location=LSP-M4;Extended Properties=&quot;&quot;" command="SELECT * FROM [LSP-M4]"/>
  </connection>
  <connection id="2" xr16:uid="{B9244478-EF7A-442B-A3C1-A4027C51209A}" keepAlive="1" name="Query - LSP-M5" description="Connection to the 'LSP-M5' query in the workbook." type="5" refreshedVersion="8" background="1" saveData="1">
    <dbPr connection="Provider=Microsoft.Mashup.OleDb.1;Data Source=$Workbook$;Location=LSP-M5;Extended Properties=&quot;&quot;" command="SELECT * FROM [LSP-M5]"/>
  </connection>
  <connection id="3" xr16:uid="{DED08B14-2567-46A3-B082-598FDA8F0EE9}" keepAlive="1" name="Query - LSP-M6" description="Connection to the 'LSP-M6' query in the workbook." type="5" refreshedVersion="8" background="1" saveData="1">
    <dbPr connection="Provider=Microsoft.Mashup.OleDb.1;Data Source=$Workbook$;Location=LSP-M6;Extended Properties=&quot;&quot;" command="SELECT * FROM [LSP-M6]"/>
  </connection>
  <connection id="4" xr16:uid="{09B1953C-CE51-4DC0-915D-C885690F1E15}" keepAlive="1" name="Query - LSP-M7" description="Connection to the 'LSP-M7' query in the workbook." type="5" refreshedVersion="8" background="1" saveData="1">
    <dbPr connection="Provider=Microsoft.Mashup.OleDb.1;Data Source=$Workbook$;Location=LSP-M7;Extended Properties=&quot;&quot;" command="SELECT * FROM [LSP-M7]"/>
  </connection>
  <connection id="5" xr16:uid="{33D08FDA-C870-471F-ACB4-CDF103ACDB98}" keepAlive="1" name="Query - LSP-M8" description="Connection to the 'LSP-M8' query in the workbook." type="5" refreshedVersion="8" background="1" saveData="1">
    <dbPr connection="Provider=Microsoft.Mashup.OleDb.1;Data Source=$Workbook$;Location=LSP-M8;Extended Properties=&quot;&quot;" command="SELECT * FROM [LSP-M8]"/>
  </connection>
</connections>
</file>

<file path=xl/sharedStrings.xml><?xml version="1.0" encoding="utf-8"?>
<sst xmlns="http://schemas.openxmlformats.org/spreadsheetml/2006/main" count="398" uniqueCount="42">
  <si>
    <t>country</t>
  </si>
  <si>
    <t>cluster_id</t>
  </si>
  <si>
    <t>Japan</t>
  </si>
  <si>
    <t>Papua New Guinea</t>
  </si>
  <si>
    <t>Philippines</t>
  </si>
  <si>
    <t>Tonga</t>
  </si>
  <si>
    <t>USA</t>
  </si>
  <si>
    <t>Mexico</t>
  </si>
  <si>
    <t>Canada</t>
  </si>
  <si>
    <t>Guatemala</t>
  </si>
  <si>
    <t>Russia</t>
  </si>
  <si>
    <t>China</t>
  </si>
  <si>
    <t>India</t>
  </si>
  <si>
    <t>Iran</t>
  </si>
  <si>
    <t>Nicaragua</t>
  </si>
  <si>
    <t>El Salvador</t>
  </si>
  <si>
    <t>Costa Rica</t>
  </si>
  <si>
    <t>Dominican</t>
  </si>
  <si>
    <t>Chile</t>
  </si>
  <si>
    <t>Argentina</t>
  </si>
  <si>
    <t>Peru</t>
  </si>
  <si>
    <t>Colombia</t>
  </si>
  <si>
    <t>Indonesia</t>
  </si>
  <si>
    <t>Timor Leste</t>
  </si>
  <si>
    <t>Australia</t>
  </si>
  <si>
    <t>New Zealand</t>
  </si>
  <si>
    <t>Algeria</t>
  </si>
  <si>
    <t>Somalia</t>
  </si>
  <si>
    <t>South Africa</t>
  </si>
  <si>
    <t>Saint Helena</t>
  </si>
  <si>
    <t>cluster</t>
  </si>
  <si>
    <t>M4+</t>
  </si>
  <si>
    <t>M5+</t>
  </si>
  <si>
    <t>M6+</t>
  </si>
  <si>
    <t>M7+</t>
  </si>
  <si>
    <t>M8+</t>
  </si>
  <si>
    <t>Number of the day</t>
  </si>
  <si>
    <t>return_p_years</t>
  </si>
  <si>
    <t>best_frequency</t>
  </si>
  <si>
    <t>best_power</t>
  </si>
  <si>
    <t>num_records</t>
  </si>
  <si>
    <t>time_span_days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</si>
</sst>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751B36-4C2E-4CA2-9A07-02E0163CBE4E}" autoFormatId="16" applyNumberFormats="0" applyBorderFormats="0" applyFontFormats="0" applyPatternFormats="0" applyAlignmentFormats="0" applyWidthHeightFormats="0">
  <queryTableRefresh nextId="9">
    <queryTableFields count="8">
      <queryTableField id="1" name="country" tableColumnId="1"/>
      <queryTableField id="2" name="cluster" tableColumnId="2"/>
      <queryTableField id="3" name="return_p_years" tableColumnId="3"/>
      <queryTableField id="4" name="best_frequency" tableColumnId="4"/>
      <queryTableField id="5" name="best_power" tableColumnId="5"/>
      <queryTableField id="6" name="num_records" tableColumnId="6"/>
      <queryTableField id="7" name="Number of the day" tableColumnId="7"/>
      <queryTableField id="8" name="time_span_day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951C3C7-C914-42B1-AE34-C7F72FCB36B9}" autoFormatId="16" applyNumberFormats="0" applyBorderFormats="0" applyFontFormats="0" applyPatternFormats="0" applyAlignmentFormats="0" applyWidthHeightFormats="0">
  <queryTableRefresh nextId="9">
    <queryTableFields count="8">
      <queryTableField id="1" name="country" tableColumnId="1"/>
      <queryTableField id="2" name="cluster" tableColumnId="2"/>
      <queryTableField id="3" name="return_p_years" tableColumnId="3"/>
      <queryTableField id="4" name="best_frequency" tableColumnId="4"/>
      <queryTableField id="5" name="best_power" tableColumnId="5"/>
      <queryTableField id="6" name="num_records" tableColumnId="6"/>
      <queryTableField id="7" name="Number of the day" tableColumnId="7"/>
      <queryTableField id="8" name="time_span_day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2673085-5B64-4CEA-96F9-C4C7C2A1D68A}" autoFormatId="16" applyNumberFormats="0" applyBorderFormats="0" applyFontFormats="0" applyPatternFormats="0" applyAlignmentFormats="0" applyWidthHeightFormats="0">
  <queryTableRefresh nextId="9">
    <queryTableFields count="8">
      <queryTableField id="1" name="country" tableColumnId="1"/>
      <queryTableField id="2" name="cluster" tableColumnId="2"/>
      <queryTableField id="3" name="return_p_years" tableColumnId="3"/>
      <queryTableField id="4" name="best_frequency" tableColumnId="4"/>
      <queryTableField id="5" name="best_power" tableColumnId="5"/>
      <queryTableField id="6" name="num_records" tableColumnId="6"/>
      <queryTableField id="7" name="Number of the day" tableColumnId="7"/>
      <queryTableField id="8" name="time_span_day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A126C9D-1917-4DB5-B083-28FE79D699A0}" autoFormatId="16" applyNumberFormats="0" applyBorderFormats="0" applyFontFormats="0" applyPatternFormats="0" applyAlignmentFormats="0" applyWidthHeightFormats="0">
  <queryTableRefresh nextId="9">
    <queryTableFields count="8">
      <queryTableField id="1" name="country" tableColumnId="1"/>
      <queryTableField id="2" name="cluster" tableColumnId="2"/>
      <queryTableField id="3" name="return_p_years" tableColumnId="3"/>
      <queryTableField id="4" name="best_frequency" tableColumnId="4"/>
      <queryTableField id="5" name="best_power" tableColumnId="5"/>
      <queryTableField id="6" name="num_records" tableColumnId="6"/>
      <queryTableField id="7" name="Number of the day" tableColumnId="7"/>
      <queryTableField id="8" name="time_span_day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28AB5FA-E331-4AEA-9DD2-B9DD51CADD98}" autoFormatId="16" applyNumberFormats="0" applyBorderFormats="0" applyFontFormats="0" applyPatternFormats="0" applyAlignmentFormats="0" applyWidthHeightFormats="0">
  <queryTableRefresh nextId="9">
    <queryTableFields count="8">
      <queryTableField id="1" name="country" tableColumnId="1"/>
      <queryTableField id="2" name="cluster" tableColumnId="2"/>
      <queryTableField id="3" name="return_p_years" tableColumnId="3"/>
      <queryTableField id="4" name="best_frequency" tableColumnId="4"/>
      <queryTableField id="5" name="best_power" tableColumnId="5"/>
      <queryTableField id="6" name="num_records" tableColumnId="6"/>
      <queryTableField id="7" name="Number of the day" tableColumnId="7"/>
      <queryTableField id="8" name="time_span_day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C71A0E-ECB9-4D3A-9A99-9628E835E51F}" name="LSP_M4" displayName="LSP_M4" ref="B1:I69" tableType="queryTable" totalsRowShown="0">
  <autoFilter ref="B1:I69" xr:uid="{9BC71A0E-ECB9-4D3A-9A99-9628E835E51F}"/>
  <tableColumns count="8">
    <tableColumn id="1" xr3:uid="{1E2704A8-98AC-48F8-8F38-7F76CE85F49A}" uniqueName="1" name="country" queryTableFieldId="1" dataDxfId="4"/>
    <tableColumn id="2" xr3:uid="{99E8E19C-68B4-442A-99C3-54961B3B9AFC}" uniqueName="2" name="cluster" queryTableFieldId="2"/>
    <tableColumn id="3" xr3:uid="{F273801B-51D1-46B7-83C7-399873E8AC0A}" uniqueName="3" name="return_p_years" queryTableFieldId="3"/>
    <tableColumn id="4" xr3:uid="{8BA25D17-14EA-4902-BAFE-A3D907FAA11A}" uniqueName="4" name="best_frequency" queryTableFieldId="4"/>
    <tableColumn id="5" xr3:uid="{12338556-8FD8-478B-9C07-933AACB7DBD8}" uniqueName="5" name="best_power" queryTableFieldId="5"/>
    <tableColumn id="6" xr3:uid="{DE374E12-65D0-4A28-8BCE-66E4E2381B5C}" uniqueName="6" name="num_records" queryTableFieldId="6"/>
    <tableColumn id="7" xr3:uid="{B3444DEB-6D51-4A56-B1B9-211E5B105C2D}" uniqueName="7" name="Number of the day" queryTableFieldId="7"/>
    <tableColumn id="8" xr3:uid="{44242BFD-CDBF-434F-AC6B-77BD072B963D}" uniqueName="8" name="time_span_day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E9E302-A7FD-406E-A3FF-DCC6AD0D3C83}" name="LSP_M5" displayName="LSP_M5" ref="B1:I69" tableType="queryTable" totalsRowShown="0">
  <autoFilter ref="B1:I69" xr:uid="{9AE9E302-A7FD-406E-A3FF-DCC6AD0D3C83}"/>
  <tableColumns count="8">
    <tableColumn id="1" xr3:uid="{FD4F712A-F780-48A2-9BC6-0B57CA03CE69}" uniqueName="1" name="country" queryTableFieldId="1" dataDxfId="3"/>
    <tableColumn id="2" xr3:uid="{5C688A97-295A-409C-AFA0-75AFBE607202}" uniqueName="2" name="cluster" queryTableFieldId="2"/>
    <tableColumn id="3" xr3:uid="{036995D7-5EF0-4CC4-A886-334E58FD2987}" uniqueName="3" name="return_p_years" queryTableFieldId="3"/>
    <tableColumn id="4" xr3:uid="{B775DEBF-455B-4A2A-BD1B-8201FFD38AF7}" uniqueName="4" name="best_frequency" queryTableFieldId="4"/>
    <tableColumn id="5" xr3:uid="{CA19913C-A960-4C86-847A-221DDBC075B7}" uniqueName="5" name="best_power" queryTableFieldId="5"/>
    <tableColumn id="6" xr3:uid="{C42FAE3C-9FD2-4D29-90AB-9436D1CEA1E1}" uniqueName="6" name="num_records" queryTableFieldId="6"/>
    <tableColumn id="7" xr3:uid="{78321A0B-5B9A-45B9-865A-8D7D687109C1}" uniqueName="7" name="Number of the day" queryTableFieldId="7"/>
    <tableColumn id="8" xr3:uid="{6FAF2CBC-20F7-421E-B7AE-DA9D0BC91264}" uniqueName="8" name="time_span_days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ABB4A5-02EB-457B-B45F-394614074F14}" name="LSP_M6" displayName="LSP_M6" ref="B1:I62" tableType="queryTable" totalsRowShown="0">
  <autoFilter ref="B1:I62" xr:uid="{E6ABB4A5-02EB-457B-B45F-394614074F14}"/>
  <tableColumns count="8">
    <tableColumn id="1" xr3:uid="{96862A31-7CD6-4ECA-956E-92C7D2A3FEDA}" uniqueName="1" name="country" queryTableFieldId="1" dataDxfId="2"/>
    <tableColumn id="2" xr3:uid="{15617948-2A86-4441-9968-A5A8FF1CFF6A}" uniqueName="2" name="cluster" queryTableFieldId="2"/>
    <tableColumn id="3" xr3:uid="{A76B0C75-50A4-4959-BD09-2F94BF4DA750}" uniqueName="3" name="return_p_years" queryTableFieldId="3"/>
    <tableColumn id="4" xr3:uid="{2F6A8F39-89BF-4FD1-992E-894EEA25073F}" uniqueName="4" name="best_frequency" queryTableFieldId="4"/>
    <tableColumn id="5" xr3:uid="{7CC5E736-C1BB-48AE-ADE4-0FC5A6ABD9A5}" uniqueName="5" name="best_power" queryTableFieldId="5"/>
    <tableColumn id="6" xr3:uid="{721CD1DB-6634-4B4E-A113-4D95F610B404}" uniqueName="6" name="num_records" queryTableFieldId="6"/>
    <tableColumn id="7" xr3:uid="{C0693D9F-92F7-4589-905F-E587ADBA5826}" uniqueName="7" name="Number of the day" queryTableFieldId="7"/>
    <tableColumn id="8" xr3:uid="{B7A3CA0B-FDB3-4D57-8068-34EA4880E2DA}" uniqueName="8" name="time_span_days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3C5A5E-6CF4-40C0-A769-85786BBCB7A4}" name="LSP_M7" displayName="LSP_M7" ref="B1:I47" tableType="queryTable" totalsRowShown="0">
  <autoFilter ref="B1:I47" xr:uid="{823C5A5E-6CF4-40C0-A769-85786BBCB7A4}"/>
  <tableColumns count="8">
    <tableColumn id="1" xr3:uid="{C102AC1A-18DE-4EC2-8557-D5E176BB1A4F}" uniqueName="1" name="country" queryTableFieldId="1" dataDxfId="1"/>
    <tableColumn id="2" xr3:uid="{8A05F2A7-0D4C-42EA-8245-D238D8D0A448}" uniqueName="2" name="cluster" queryTableFieldId="2"/>
    <tableColumn id="3" xr3:uid="{1639311F-7A1C-4AD2-B102-2C79A2A3CD08}" uniqueName="3" name="return_p_years" queryTableFieldId="3"/>
    <tableColumn id="4" xr3:uid="{7DDB814F-BB0C-4ABE-B086-0F0214991A6D}" uniqueName="4" name="best_frequency" queryTableFieldId="4"/>
    <tableColumn id="5" xr3:uid="{1E744627-0EF7-4780-A24B-67A300D07E79}" uniqueName="5" name="best_power" queryTableFieldId="5"/>
    <tableColumn id="6" xr3:uid="{3ABE3514-9C0B-4836-BDBA-86DBFB4DEA54}" uniqueName="6" name="num_records" queryTableFieldId="6"/>
    <tableColumn id="7" xr3:uid="{56AE3B2F-589A-411D-960C-398143425508}" uniqueName="7" name="Number of the day" queryTableFieldId="7"/>
    <tableColumn id="8" xr3:uid="{8F7CBD91-2101-45BD-8AC3-4E1658F49568}" uniqueName="8" name="time_span_days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094CE7-D895-4B08-95C8-6CB9110AE8CB}" name="LSP_M8" displayName="LSP_M8" ref="B1:I41" tableType="queryTable" totalsRowShown="0">
  <autoFilter ref="B1:I41" xr:uid="{02094CE7-D895-4B08-95C8-6CB9110AE8CB}"/>
  <tableColumns count="8">
    <tableColumn id="1" xr3:uid="{F64DCA00-2CE0-4501-9EF2-A1EA6E3FD58C}" uniqueName="1" name="country" queryTableFieldId="1" dataDxfId="0"/>
    <tableColumn id="2" xr3:uid="{659E226C-5DA6-4C01-8099-D50D2C34432F}" uniqueName="2" name="cluster" queryTableFieldId="2"/>
    <tableColumn id="3" xr3:uid="{E743A0B2-AE86-4BCB-8B34-37284122F1B7}" uniqueName="3" name="return_p_years" queryTableFieldId="3"/>
    <tableColumn id="4" xr3:uid="{97F978E9-16D7-4B28-BD32-1CEF1393B12F}" uniqueName="4" name="best_frequency" queryTableFieldId="4"/>
    <tableColumn id="5" xr3:uid="{AD78F7C3-7510-4853-AA6B-BA46C61A5586}" uniqueName="5" name="best_power" queryTableFieldId="5"/>
    <tableColumn id="6" xr3:uid="{25B0031C-A69A-404B-901F-0186F3EDA44A}" uniqueName="6" name="num_records" queryTableFieldId="6"/>
    <tableColumn id="7" xr3:uid="{231F94F7-678F-4A05-81EA-F7EBE436FEA1}" uniqueName="7" name="Number of the day" queryTableFieldId="7"/>
    <tableColumn id="8" xr3:uid="{C5E71BEE-E9DF-4896-A5B7-595E38EF8806}" uniqueName="8" name="time_span_day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FCCA-B3FA-4800-BA4D-D2A88F076144}">
  <dimension ref="A1:G69"/>
  <sheetViews>
    <sheetView tabSelected="1" workbookViewId="0">
      <selection activeCell="H12" sqref="H1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35">
      <c r="A2" t="s">
        <v>2</v>
      </c>
      <c r="B2">
        <v>1</v>
      </c>
      <c r="C2">
        <f>IF(ISBLANK(VLOOKUP(A2&amp;" "&amp;B2,'LSP-M4'!$A$2:$D$100,4,FALSE))," ",_xlfn.IFNA(VLOOKUP(A2&amp;" "&amp;B2,'LSP-M4'!$A$2:$D$100,4,FALSE)," "))</f>
        <v>0.97699999999999998</v>
      </c>
      <c r="D2">
        <f>IF(ISBLANK(VLOOKUP(A2&amp;" "&amp;B2,'LSP-M5'!$A$2:$D$100,4,FALSE))," ",_xlfn.IFNA(VLOOKUP(A2&amp;" "&amp;B2,'LSP-M5'!$A$2:$D$100,4,FALSE)," "))</f>
        <v>0.97699999999999998</v>
      </c>
      <c r="E2">
        <f>IF(ISBLANK(VLOOKUP(A2&amp;" "&amp;B2,'LSP-M6'!$A$2:$D$100,4,FALSE))," ",_xlfn.IFNA(VLOOKUP(A2&amp;" "&amp;B2,'LSP-M6'!$A$2:$D$100,4,FALSE)," "))</f>
        <v>0.97499999999999998</v>
      </c>
      <c r="F2">
        <f>IF(ISBLANK(VLOOKUP(A2&amp;" "&amp;B2,'LSP-M7'!$A$2:$D$100,4,FALSE))," ",_xlfn.IFNA(VLOOKUP(A2&amp;" "&amp;B2,'LSP-M7'!$A$2:$D$100,4,FALSE)," "))</f>
        <v>3.528</v>
      </c>
      <c r="G2" t="str">
        <f>IF(ISBLANK(VLOOKUP(A2&amp;" "&amp;B2,'LSP-M8'!$A$2:$D$100,4,FALSE))," ",_xlfn.IFNA(VLOOKUP(A2&amp;" "&amp;B2,'LSP-M8'!$A$2:$D$100,4,FALSE)," "))</f>
        <v xml:space="preserve"> </v>
      </c>
    </row>
    <row r="3" spans="1:7" x14ac:dyDescent="0.35">
      <c r="A3" t="s">
        <v>2</v>
      </c>
      <c r="B3">
        <v>2</v>
      </c>
      <c r="C3">
        <f>IF(ISBLANK(VLOOKUP(A3&amp;" "&amp;B3,'LSP-M4'!$A$2:$D$100,4,FALSE))," ",_xlfn.IFNA(VLOOKUP(A3&amp;" "&amp;B3,'LSP-M4'!$A$2:$D$100,4,FALSE)," "))</f>
        <v>2.282</v>
      </c>
      <c r="D3">
        <f>IF(ISBLANK(VLOOKUP(A3&amp;" "&amp;B3,'LSP-M5'!$A$2:$D$100,4,FALSE))," ",_xlfn.IFNA(VLOOKUP(A3&amp;" "&amp;B3,'LSP-M5'!$A$2:$D$100,4,FALSE)," "))</f>
        <v>2.282</v>
      </c>
      <c r="E3">
        <f>IF(ISBLANK(VLOOKUP(A3&amp;" "&amp;B3,'LSP-M6'!$A$2:$D$100,4,FALSE))," ",_xlfn.IFNA(VLOOKUP(A3&amp;" "&amp;B3,'LSP-M6'!$A$2:$D$100,4,FALSE)," "))</f>
        <v>1.5029999999999999</v>
      </c>
      <c r="F3">
        <f>IF(ISBLANK(VLOOKUP(A3&amp;" "&amp;B3,'LSP-M7'!$A$2:$D$100,4,FALSE))," ",_xlfn.IFNA(VLOOKUP(A3&amp;" "&amp;B3,'LSP-M7'!$A$2:$D$100,4,FALSE)," "))</f>
        <v>11.833</v>
      </c>
      <c r="G3" t="str">
        <f>IF(ISBLANK(VLOOKUP(A3&amp;" "&amp;B3,'LSP-M8'!$A$2:$D$100,4,FALSE))," ",_xlfn.IFNA(VLOOKUP(A3&amp;" "&amp;B3,'LSP-M8'!$A$2:$D$100,4,FALSE)," "))</f>
        <v xml:space="preserve"> </v>
      </c>
    </row>
    <row r="4" spans="1:7" x14ac:dyDescent="0.35">
      <c r="A4" t="s">
        <v>2</v>
      </c>
      <c r="B4">
        <v>3</v>
      </c>
      <c r="C4">
        <f>IF(ISBLANK(VLOOKUP(A4&amp;" "&amp;B4,'LSP-M4'!$A$2:$D$100,4,FALSE))," ",_xlfn.IFNA(VLOOKUP(A4&amp;" "&amp;B4,'LSP-M4'!$A$2:$D$100,4,FALSE)," "))</f>
        <v>6.0919999999999996</v>
      </c>
      <c r="D4">
        <f>IF(ISBLANK(VLOOKUP(A4&amp;" "&amp;B4,'LSP-M5'!$A$2:$D$100,4,FALSE))," ",_xlfn.IFNA(VLOOKUP(A4&amp;" "&amp;B4,'LSP-M5'!$A$2:$D$100,4,FALSE)," "))</f>
        <v>7.1989999999999998</v>
      </c>
      <c r="E4" t="str">
        <f>IF(ISBLANK(VLOOKUP(A4&amp;" "&amp;B4,'LSP-M6'!$A$2:$D$100,4,FALSE))," ",_xlfn.IFNA(VLOOKUP(A4&amp;" "&amp;B4,'LSP-M6'!$A$2:$D$100,4,FALSE)," "))</f>
        <v xml:space="preserve"> </v>
      </c>
      <c r="F4" t="str">
        <f>IF(ISBLANK(VLOOKUP(A4&amp;" "&amp;B4,'LSP-M7'!$A$2:$D$100,4,FALSE))," ",_xlfn.IFNA(VLOOKUP(A4&amp;" "&amp;B4,'LSP-M7'!$A$2:$D$100,4,FALSE)," "))</f>
        <v xml:space="preserve"> </v>
      </c>
      <c r="G4" t="str">
        <f>IF(ISBLANK(VLOOKUP(A4&amp;" "&amp;B4,'LSP-M8'!$A$2:$D$100,4,FALSE))," ",_xlfn.IFNA(VLOOKUP(A4&amp;" "&amp;B4,'LSP-M8'!$A$2:$D$100,4,FALSE)," "))</f>
        <v xml:space="preserve"> </v>
      </c>
    </row>
    <row r="5" spans="1:7" x14ac:dyDescent="0.35">
      <c r="A5" t="s">
        <v>3</v>
      </c>
      <c r="B5">
        <v>1</v>
      </c>
      <c r="C5">
        <f>IF(ISBLANK(VLOOKUP(A5&amp;" "&amp;B5,'LSP-M4'!$A$2:$D$100,4,FALSE))," ",_xlfn.IFNA(VLOOKUP(A5&amp;" "&amp;B5,'LSP-M4'!$A$2:$D$100,4,FALSE)," "))</f>
        <v>1.528</v>
      </c>
      <c r="D5">
        <f>IF(ISBLANK(VLOOKUP(A5&amp;" "&amp;B5,'LSP-M5'!$A$2:$D$100,4,FALSE))," ",_xlfn.IFNA(VLOOKUP(A5&amp;" "&amp;B5,'LSP-M5'!$A$2:$D$100,4,FALSE)," "))</f>
        <v>1.528</v>
      </c>
      <c r="E5">
        <f>IF(ISBLANK(VLOOKUP(A5&amp;" "&amp;B5,'LSP-M6'!$A$2:$D$100,4,FALSE))," ",_xlfn.IFNA(VLOOKUP(A5&amp;" "&amp;B5,'LSP-M6'!$A$2:$D$100,4,FALSE)," "))</f>
        <v>1.528</v>
      </c>
      <c r="F5">
        <f>IF(ISBLANK(VLOOKUP(A5&amp;" "&amp;B5,'LSP-M7'!$A$2:$D$100,4,FALSE))," ",_xlfn.IFNA(VLOOKUP(A5&amp;" "&amp;B5,'LSP-M7'!$A$2:$D$100,4,FALSE)," "))</f>
        <v>2.0139999999999998</v>
      </c>
      <c r="G5" t="str">
        <f>IF(ISBLANK(VLOOKUP(A5&amp;" "&amp;B5,'LSP-M8'!$A$2:$D$100,4,FALSE))," ",_xlfn.IFNA(VLOOKUP(A5&amp;" "&amp;B5,'LSP-M8'!$A$2:$D$100,4,FALSE)," "))</f>
        <v xml:space="preserve"> </v>
      </c>
    </row>
    <row r="6" spans="1:7" x14ac:dyDescent="0.35">
      <c r="A6" t="s">
        <v>3</v>
      </c>
      <c r="B6">
        <v>2</v>
      </c>
      <c r="C6">
        <f>IF(ISBLANK(VLOOKUP(A6&amp;" "&amp;B6,'LSP-M4'!$A$2:$D$100,4,FALSE))," ",_xlfn.IFNA(VLOOKUP(A6&amp;" "&amp;B6,'LSP-M4'!$A$2:$D$100,4,FALSE)," "))</f>
        <v>2.073</v>
      </c>
      <c r="D6">
        <f>IF(ISBLANK(VLOOKUP(A6&amp;" "&amp;B6,'LSP-M5'!$A$2:$D$100,4,FALSE))," ",_xlfn.IFNA(VLOOKUP(A6&amp;" "&amp;B6,'LSP-M5'!$A$2:$D$100,4,FALSE)," "))</f>
        <v>1.5820000000000001</v>
      </c>
      <c r="E6">
        <f>IF(ISBLANK(VLOOKUP(A6&amp;" "&amp;B6,'LSP-M6'!$A$2:$D$100,4,FALSE))," ",_xlfn.IFNA(VLOOKUP(A6&amp;" "&amp;B6,'LSP-M6'!$A$2:$D$100,4,FALSE)," "))</f>
        <v>11.667999999999999</v>
      </c>
      <c r="F6" t="str">
        <f>IF(ISBLANK(VLOOKUP(A6&amp;" "&amp;B6,'LSP-M7'!$A$2:$D$100,4,FALSE))," ",_xlfn.IFNA(VLOOKUP(A6&amp;" "&amp;B6,'LSP-M7'!$A$2:$D$100,4,FALSE)," "))</f>
        <v xml:space="preserve"> </v>
      </c>
      <c r="G6" t="str">
        <f>IF(ISBLANK(VLOOKUP(A6&amp;" "&amp;B6,'LSP-M8'!$A$2:$D$100,4,FALSE))," ",_xlfn.IFNA(VLOOKUP(A6&amp;" "&amp;B6,'LSP-M8'!$A$2:$D$100,4,FALSE)," "))</f>
        <v xml:space="preserve"> </v>
      </c>
    </row>
    <row r="7" spans="1:7" x14ac:dyDescent="0.35">
      <c r="A7" t="s">
        <v>3</v>
      </c>
      <c r="B7">
        <v>3</v>
      </c>
      <c r="C7">
        <f>IF(ISBLANK(VLOOKUP(A7&amp;" "&amp;B7,'LSP-M4'!$A$2:$D$100,4,FALSE))," ",_xlfn.IFNA(VLOOKUP(A7&amp;" "&amp;B7,'LSP-M4'!$A$2:$D$100,4,FALSE)," "))</f>
        <v>2.516</v>
      </c>
      <c r="D7">
        <f>IF(ISBLANK(VLOOKUP(A7&amp;" "&amp;B7,'LSP-M5'!$A$2:$D$100,4,FALSE))," ",_xlfn.IFNA(VLOOKUP(A7&amp;" "&amp;B7,'LSP-M5'!$A$2:$D$100,4,FALSE)," "))</f>
        <v>4.1539999999999999</v>
      </c>
      <c r="E7" t="str">
        <f>IF(ISBLANK(VLOOKUP(A7&amp;" "&amp;B7,'LSP-M6'!$A$2:$D$100,4,FALSE))," ",_xlfn.IFNA(VLOOKUP(A7&amp;" "&amp;B7,'LSP-M6'!$A$2:$D$100,4,FALSE)," "))</f>
        <v xml:space="preserve"> </v>
      </c>
      <c r="F7" t="str">
        <f>IF(ISBLANK(VLOOKUP(A7&amp;" "&amp;B7,'LSP-M7'!$A$2:$D$100,4,FALSE))," ",_xlfn.IFNA(VLOOKUP(A7&amp;" "&amp;B7,'LSP-M7'!$A$2:$D$100,4,FALSE)," "))</f>
        <v xml:space="preserve"> </v>
      </c>
      <c r="G7" t="str">
        <f>IF(ISBLANK(VLOOKUP(A7&amp;" "&amp;B7,'LSP-M8'!$A$2:$D$100,4,FALSE))," ",_xlfn.IFNA(VLOOKUP(A7&amp;" "&amp;B7,'LSP-M8'!$A$2:$D$100,4,FALSE)," "))</f>
        <v xml:space="preserve"> </v>
      </c>
    </row>
    <row r="8" spans="1:7" x14ac:dyDescent="0.35">
      <c r="A8" t="s">
        <v>4</v>
      </c>
      <c r="B8">
        <v>1</v>
      </c>
      <c r="C8">
        <f>IF(ISBLANK(VLOOKUP(A8&amp;" "&amp;B8,'LSP-M4'!$A$2:$D$100,4,FALSE))," ",_xlfn.IFNA(VLOOKUP(A8&amp;" "&amp;B8,'LSP-M4'!$A$2:$D$100,4,FALSE)," "))</f>
        <v>1.1040000000000001</v>
      </c>
      <c r="D8">
        <f>IF(ISBLANK(VLOOKUP(A8&amp;" "&amp;B8,'LSP-M5'!$A$2:$D$100,4,FALSE))," ",_xlfn.IFNA(VLOOKUP(A8&amp;" "&amp;B8,'LSP-M5'!$A$2:$D$100,4,FALSE)," "))</f>
        <v>1.1040000000000001</v>
      </c>
      <c r="E8">
        <f>IF(ISBLANK(VLOOKUP(A8&amp;" "&amp;B8,'LSP-M6'!$A$2:$D$100,4,FALSE))," ",_xlfn.IFNA(VLOOKUP(A8&amp;" "&amp;B8,'LSP-M6'!$A$2:$D$100,4,FALSE)," "))</f>
        <v>2.1920000000000002</v>
      </c>
      <c r="F8">
        <f>IF(ISBLANK(VLOOKUP(A8&amp;" "&amp;B8,'LSP-M7'!$A$2:$D$100,4,FALSE))," ",_xlfn.IFNA(VLOOKUP(A8&amp;" "&amp;B8,'LSP-M7'!$A$2:$D$100,4,FALSE)," "))</f>
        <v>2.9649999999999999</v>
      </c>
      <c r="G8" t="str">
        <f>IF(ISBLANK(VLOOKUP(A8&amp;" "&amp;B8,'LSP-M8'!$A$2:$D$100,4,FALSE))," ",_xlfn.IFNA(VLOOKUP(A8&amp;" "&amp;B8,'LSP-M8'!$A$2:$D$100,4,FALSE)," "))</f>
        <v xml:space="preserve"> </v>
      </c>
    </row>
    <row r="9" spans="1:7" x14ac:dyDescent="0.35">
      <c r="A9" t="s">
        <v>4</v>
      </c>
      <c r="B9">
        <v>2</v>
      </c>
      <c r="C9" t="str">
        <f>IF(ISBLANK(VLOOKUP(A9&amp;" "&amp;B9,'LSP-M4'!$A$2:$D$100,4,FALSE))," ",_xlfn.IFNA(VLOOKUP(A9&amp;" "&amp;B9,'LSP-M4'!$A$2:$D$100,4,FALSE)," "))</f>
        <v xml:space="preserve"> </v>
      </c>
      <c r="D9" t="str">
        <f>IF(ISBLANK(VLOOKUP(A9&amp;" "&amp;B9,'LSP-M5'!$A$2:$D$100,4,FALSE))," ",_xlfn.IFNA(VLOOKUP(A9&amp;" "&amp;B9,'LSP-M5'!$A$2:$D$100,4,FALSE)," "))</f>
        <v xml:space="preserve"> </v>
      </c>
      <c r="E9" t="str">
        <f>IF(ISBLANK(VLOOKUP(A9&amp;" "&amp;B9,'LSP-M6'!$A$2:$D$100,4,FALSE))," ",_xlfn.IFNA(VLOOKUP(A9&amp;" "&amp;B9,'LSP-M6'!$A$2:$D$100,4,FALSE)," "))</f>
        <v xml:space="preserve"> </v>
      </c>
      <c r="F9" t="str">
        <f>IF(ISBLANK(VLOOKUP(A9&amp;" "&amp;B9,'LSP-M7'!$A$2:$D$100,4,FALSE))," ",_xlfn.IFNA(VLOOKUP(A9&amp;" "&amp;B9,'LSP-M7'!$A$2:$D$100,4,FALSE)," "))</f>
        <v xml:space="preserve"> </v>
      </c>
      <c r="G9" t="str">
        <f>IF(ISBLANK(VLOOKUP(A9&amp;" "&amp;B9,'LSP-M8'!$A$2:$D$100,4,FALSE))," ",_xlfn.IFNA(VLOOKUP(A9&amp;" "&amp;B9,'LSP-M8'!$A$2:$D$100,4,FALSE)," "))</f>
        <v xml:space="preserve"> </v>
      </c>
    </row>
    <row r="10" spans="1:7" x14ac:dyDescent="0.35">
      <c r="A10" t="s">
        <v>5</v>
      </c>
      <c r="B10">
        <v>1</v>
      </c>
      <c r="C10">
        <f>IF(ISBLANK(VLOOKUP(A10&amp;" "&amp;B10,'LSP-M4'!$A$2:$D$100,4,FALSE))," ",_xlfn.IFNA(VLOOKUP(A10&amp;" "&amp;B10,'LSP-M4'!$A$2:$D$100,4,FALSE)," "))</f>
        <v>1.004</v>
      </c>
      <c r="D10">
        <f>IF(ISBLANK(VLOOKUP(A10&amp;" "&amp;B10,'LSP-M5'!$A$2:$D$100,4,FALSE))," ",_xlfn.IFNA(VLOOKUP(A10&amp;" "&amp;B10,'LSP-M5'!$A$2:$D$100,4,FALSE)," "))</f>
        <v>1.004</v>
      </c>
      <c r="E10">
        <f>IF(ISBLANK(VLOOKUP(A10&amp;" "&amp;B10,'LSP-M6'!$A$2:$D$100,4,FALSE))," ",_xlfn.IFNA(VLOOKUP(A10&amp;" "&amp;B10,'LSP-M6'!$A$2:$D$100,4,FALSE)," "))</f>
        <v>1.004</v>
      </c>
      <c r="F10">
        <f>IF(ISBLANK(VLOOKUP(A10&amp;" "&amp;B10,'LSP-M7'!$A$2:$D$100,4,FALSE))," ",_xlfn.IFNA(VLOOKUP(A10&amp;" "&amp;B10,'LSP-M7'!$A$2:$D$100,4,FALSE)," "))</f>
        <v>3.95</v>
      </c>
      <c r="G10" t="str">
        <f>IF(ISBLANK(VLOOKUP(A10&amp;" "&amp;B10,'LSP-M8'!$A$2:$D$100,4,FALSE))," ",_xlfn.IFNA(VLOOKUP(A10&amp;" "&amp;B10,'LSP-M8'!$A$2:$D$100,4,FALSE)," "))</f>
        <v xml:space="preserve"> </v>
      </c>
    </row>
    <row r="11" spans="1:7" x14ac:dyDescent="0.35">
      <c r="A11" t="s">
        <v>6</v>
      </c>
      <c r="B11">
        <v>1</v>
      </c>
      <c r="C11">
        <f>IF(ISBLANK(VLOOKUP(A11&amp;" "&amp;B11,'LSP-M4'!$A$2:$D$100,4,FALSE))," ",_xlfn.IFNA(VLOOKUP(A11&amp;" "&amp;B11,'LSP-M4'!$A$2:$D$100,4,FALSE)," "))</f>
        <v>1.802</v>
      </c>
      <c r="D11">
        <f>IF(ISBLANK(VLOOKUP(A11&amp;" "&amp;B11,'LSP-M5'!$A$2:$D$100,4,FALSE))," ",_xlfn.IFNA(VLOOKUP(A11&amp;" "&amp;B11,'LSP-M5'!$A$2:$D$100,4,FALSE)," "))</f>
        <v>1.802</v>
      </c>
      <c r="E11">
        <f>IF(ISBLANK(VLOOKUP(A11&amp;" "&amp;B11,'LSP-M6'!$A$2:$D$100,4,FALSE))," ",_xlfn.IFNA(VLOOKUP(A11&amp;" "&amp;B11,'LSP-M6'!$A$2:$D$100,4,FALSE)," "))</f>
        <v>1.792</v>
      </c>
      <c r="F11">
        <f>IF(ISBLANK(VLOOKUP(A11&amp;" "&amp;B11,'LSP-M7'!$A$2:$D$100,4,FALSE))," ",_xlfn.IFNA(VLOOKUP(A11&amp;" "&amp;B11,'LSP-M7'!$A$2:$D$100,4,FALSE)," "))</f>
        <v>4.7270000000000003</v>
      </c>
      <c r="G11" t="str">
        <f>IF(ISBLANK(VLOOKUP(A11&amp;" "&amp;B11,'LSP-M8'!$A$2:$D$100,4,FALSE))," ",_xlfn.IFNA(VLOOKUP(A11&amp;" "&amp;B11,'LSP-M8'!$A$2:$D$100,4,FALSE)," "))</f>
        <v xml:space="preserve"> </v>
      </c>
    </row>
    <row r="12" spans="1:7" x14ac:dyDescent="0.35">
      <c r="A12" t="s">
        <v>6</v>
      </c>
      <c r="B12">
        <v>2</v>
      </c>
      <c r="C12">
        <f>IF(ISBLANK(VLOOKUP(A12&amp;" "&amp;B12,'LSP-M4'!$A$2:$D$100,4,FALSE))," ",_xlfn.IFNA(VLOOKUP(A12&amp;" "&amp;B12,'LSP-M4'!$A$2:$D$100,4,FALSE)," "))</f>
        <v>1.911</v>
      </c>
      <c r="D12">
        <f>IF(ISBLANK(VLOOKUP(A12&amp;" "&amp;B12,'LSP-M5'!$A$2:$D$100,4,FALSE))," ",_xlfn.IFNA(VLOOKUP(A12&amp;" "&amp;B12,'LSP-M5'!$A$2:$D$100,4,FALSE)," "))</f>
        <v>1.35</v>
      </c>
      <c r="E12">
        <f>IF(ISBLANK(VLOOKUP(A12&amp;" "&amp;B12,'LSP-M6'!$A$2:$D$100,4,FALSE))," ",_xlfn.IFNA(VLOOKUP(A12&amp;" "&amp;B12,'LSP-M6'!$A$2:$D$100,4,FALSE)," "))</f>
        <v>2.8660000000000001</v>
      </c>
      <c r="F12" t="str">
        <f>IF(ISBLANK(VLOOKUP(A12&amp;" "&amp;B12,'LSP-M7'!$A$2:$D$100,4,FALSE))," ",_xlfn.IFNA(VLOOKUP(A12&amp;" "&amp;B12,'LSP-M7'!$A$2:$D$100,4,FALSE)," "))</f>
        <v xml:space="preserve"> </v>
      </c>
      <c r="G12" t="str">
        <f>IF(ISBLANK(VLOOKUP(A12&amp;" "&amp;B12,'LSP-M8'!$A$2:$D$100,4,FALSE))," ",_xlfn.IFNA(VLOOKUP(A12&amp;" "&amp;B12,'LSP-M8'!$A$2:$D$100,4,FALSE)," "))</f>
        <v xml:space="preserve"> </v>
      </c>
    </row>
    <row r="13" spans="1:7" x14ac:dyDescent="0.35">
      <c r="A13" t="s">
        <v>6</v>
      </c>
      <c r="B13">
        <v>3</v>
      </c>
      <c r="C13">
        <f>IF(ISBLANK(VLOOKUP(A13&amp;" "&amp;B13,'LSP-M4'!$A$2:$D$100,4,FALSE))," ",_xlfn.IFNA(VLOOKUP(A13&amp;" "&amp;B13,'LSP-M4'!$A$2:$D$100,4,FALSE)," "))</f>
        <v>1.202</v>
      </c>
      <c r="D13">
        <f>IF(ISBLANK(VLOOKUP(A13&amp;" "&amp;B13,'LSP-M5'!$A$2:$D$100,4,FALSE))," ",_xlfn.IFNA(VLOOKUP(A13&amp;" "&amp;B13,'LSP-M5'!$A$2:$D$100,4,FALSE)," "))</f>
        <v>1.9670000000000001</v>
      </c>
      <c r="E13">
        <f>IF(ISBLANK(VLOOKUP(A13&amp;" "&amp;B13,'LSP-M6'!$A$2:$D$100,4,FALSE))," ",_xlfn.IFNA(VLOOKUP(A13&amp;" "&amp;B13,'LSP-M6'!$A$2:$D$100,4,FALSE)," "))</f>
        <v>4.5650000000000004</v>
      </c>
      <c r="F13" t="str">
        <f>IF(ISBLANK(VLOOKUP(A13&amp;" "&amp;B13,'LSP-M7'!$A$2:$D$100,4,FALSE))," ",_xlfn.IFNA(VLOOKUP(A13&amp;" "&amp;B13,'LSP-M7'!$A$2:$D$100,4,FALSE)," "))</f>
        <v xml:space="preserve"> </v>
      </c>
      <c r="G13" t="str">
        <f>IF(ISBLANK(VLOOKUP(A13&amp;" "&amp;B13,'LSP-M8'!$A$2:$D$100,4,FALSE))," ",_xlfn.IFNA(VLOOKUP(A13&amp;" "&amp;B13,'LSP-M8'!$A$2:$D$100,4,FALSE)," "))</f>
        <v xml:space="preserve"> </v>
      </c>
    </row>
    <row r="14" spans="1:7" x14ac:dyDescent="0.35">
      <c r="A14" t="s">
        <v>7</v>
      </c>
      <c r="B14">
        <v>1</v>
      </c>
      <c r="C14">
        <f>IF(ISBLANK(VLOOKUP(A14&amp;" "&amp;B14,'LSP-M4'!$A$2:$D$100,4,FALSE))," ",_xlfn.IFNA(VLOOKUP(A14&amp;" "&amp;B14,'LSP-M4'!$A$2:$D$100,4,FALSE)," "))</f>
        <v>1.4790000000000001</v>
      </c>
      <c r="D14">
        <f>IF(ISBLANK(VLOOKUP(A14&amp;" "&amp;B14,'LSP-M5'!$A$2:$D$100,4,FALSE))," ",_xlfn.IFNA(VLOOKUP(A14&amp;" "&amp;B14,'LSP-M5'!$A$2:$D$100,4,FALSE)," "))</f>
        <v>1.4790000000000001</v>
      </c>
      <c r="E14">
        <f>IF(ISBLANK(VLOOKUP(A14&amp;" "&amp;B14,'LSP-M6'!$A$2:$D$100,4,FALSE))," ",_xlfn.IFNA(VLOOKUP(A14&amp;" "&amp;B14,'LSP-M6'!$A$2:$D$100,4,FALSE)," "))</f>
        <v>1.472</v>
      </c>
      <c r="F14">
        <f>IF(ISBLANK(VLOOKUP(A14&amp;" "&amp;B14,'LSP-M7'!$A$2:$D$100,4,FALSE))," ",_xlfn.IFNA(VLOOKUP(A14&amp;" "&amp;B14,'LSP-M7'!$A$2:$D$100,4,FALSE)," "))</f>
        <v>3.8820000000000001</v>
      </c>
      <c r="G14" t="str">
        <f>IF(ISBLANK(VLOOKUP(A14&amp;" "&amp;B14,'LSP-M8'!$A$2:$D$100,4,FALSE))," ",_xlfn.IFNA(VLOOKUP(A14&amp;" "&amp;B14,'LSP-M8'!$A$2:$D$100,4,FALSE)," "))</f>
        <v xml:space="preserve"> </v>
      </c>
    </row>
    <row r="15" spans="1:7" x14ac:dyDescent="0.35">
      <c r="A15" t="s">
        <v>7</v>
      </c>
      <c r="B15">
        <v>2</v>
      </c>
      <c r="C15">
        <f>IF(ISBLANK(VLOOKUP(A15&amp;" "&amp;B15,'LSP-M4'!$A$2:$D$100,4,FALSE))," ",_xlfn.IFNA(VLOOKUP(A15&amp;" "&amp;B15,'LSP-M4'!$A$2:$D$100,4,FALSE)," "))</f>
        <v>2.3410000000000002</v>
      </c>
      <c r="D15">
        <f>IF(ISBLANK(VLOOKUP(A15&amp;" "&amp;B15,'LSP-M5'!$A$2:$D$100,4,FALSE))," ",_xlfn.IFNA(VLOOKUP(A15&amp;" "&amp;B15,'LSP-M5'!$A$2:$D$100,4,FALSE)," "))</f>
        <v>1.216</v>
      </c>
      <c r="E15">
        <f>IF(ISBLANK(VLOOKUP(A15&amp;" "&amp;B15,'LSP-M6'!$A$2:$D$100,4,FALSE))," ",_xlfn.IFNA(VLOOKUP(A15&amp;" "&amp;B15,'LSP-M6'!$A$2:$D$100,4,FALSE)," "))</f>
        <v>2.734</v>
      </c>
      <c r="F15" t="str">
        <f>IF(ISBLANK(VLOOKUP(A15&amp;" "&amp;B15,'LSP-M7'!$A$2:$D$100,4,FALSE))," ",_xlfn.IFNA(VLOOKUP(A15&amp;" "&amp;B15,'LSP-M7'!$A$2:$D$100,4,FALSE)," "))</f>
        <v xml:space="preserve"> </v>
      </c>
      <c r="G15" t="str">
        <f>IF(ISBLANK(VLOOKUP(A15&amp;" "&amp;B15,'LSP-M8'!$A$2:$D$100,4,FALSE))," ",_xlfn.IFNA(VLOOKUP(A15&amp;" "&amp;B15,'LSP-M8'!$A$2:$D$100,4,FALSE)," "))</f>
        <v xml:space="preserve"> </v>
      </c>
    </row>
    <row r="16" spans="1:7" x14ac:dyDescent="0.35">
      <c r="A16" t="s">
        <v>7</v>
      </c>
      <c r="B16">
        <v>3</v>
      </c>
      <c r="C16">
        <f>IF(ISBLANK(VLOOKUP(A16&amp;" "&amp;B16,'LSP-M4'!$A$2:$D$100,4,FALSE))," ",_xlfn.IFNA(VLOOKUP(A16&amp;" "&amp;B16,'LSP-M4'!$A$2:$D$100,4,FALSE)," "))</f>
        <v>3.1890000000000001</v>
      </c>
      <c r="D16">
        <f>IF(ISBLANK(VLOOKUP(A16&amp;" "&amp;B16,'LSP-M5'!$A$2:$D$100,4,FALSE))," ",_xlfn.IFNA(VLOOKUP(A16&amp;" "&amp;B16,'LSP-M5'!$A$2:$D$100,4,FALSE)," "))</f>
        <v>3.5910000000000002</v>
      </c>
      <c r="E16" t="str">
        <f>IF(ISBLANK(VLOOKUP(A16&amp;" "&amp;B16,'LSP-M6'!$A$2:$D$100,4,FALSE))," ",_xlfn.IFNA(VLOOKUP(A16&amp;" "&amp;B16,'LSP-M6'!$A$2:$D$100,4,FALSE)," "))</f>
        <v xml:space="preserve"> </v>
      </c>
      <c r="F16" t="str">
        <f>IF(ISBLANK(VLOOKUP(A16&amp;" "&amp;B16,'LSP-M7'!$A$2:$D$100,4,FALSE))," ",_xlfn.IFNA(VLOOKUP(A16&amp;" "&amp;B16,'LSP-M7'!$A$2:$D$100,4,FALSE)," "))</f>
        <v xml:space="preserve"> </v>
      </c>
      <c r="G16" t="str">
        <f>IF(ISBLANK(VLOOKUP(A16&amp;" "&amp;B16,'LSP-M8'!$A$2:$D$100,4,FALSE))," ",_xlfn.IFNA(VLOOKUP(A16&amp;" "&amp;B16,'LSP-M8'!$A$2:$D$100,4,FALSE)," "))</f>
        <v xml:space="preserve"> </v>
      </c>
    </row>
    <row r="17" spans="1:7" x14ac:dyDescent="0.35">
      <c r="A17" t="s">
        <v>8</v>
      </c>
      <c r="B17">
        <v>1</v>
      </c>
      <c r="C17">
        <f>IF(ISBLANK(VLOOKUP(A17&amp;" "&amp;B17,'LSP-M4'!$A$2:$D$100,4,FALSE))," ",_xlfn.IFNA(VLOOKUP(A17&amp;" "&amp;B17,'LSP-M4'!$A$2:$D$100,4,FALSE)," "))</f>
        <v>2.6469999999999998</v>
      </c>
      <c r="D17">
        <f>IF(ISBLANK(VLOOKUP(A17&amp;" "&amp;B17,'LSP-M5'!$A$2:$D$100,4,FALSE))," ",_xlfn.IFNA(VLOOKUP(A17&amp;" "&amp;B17,'LSP-M5'!$A$2:$D$100,4,FALSE)," "))</f>
        <v>2.661</v>
      </c>
      <c r="E17">
        <f>IF(ISBLANK(VLOOKUP(A17&amp;" "&amp;B17,'LSP-M6'!$A$2:$D$100,4,FALSE))," ",_xlfn.IFNA(VLOOKUP(A17&amp;" "&amp;B17,'LSP-M6'!$A$2:$D$100,4,FALSE)," "))</f>
        <v>3.5590000000000002</v>
      </c>
      <c r="F17" t="str">
        <f>IF(ISBLANK(VLOOKUP(A17&amp;" "&amp;B17,'LSP-M7'!$A$2:$D$100,4,FALSE))," ",_xlfn.IFNA(VLOOKUP(A17&amp;" "&amp;B17,'LSP-M7'!$A$2:$D$100,4,FALSE)," "))</f>
        <v xml:space="preserve"> </v>
      </c>
      <c r="G17" t="str">
        <f>IF(ISBLANK(VLOOKUP(A17&amp;" "&amp;B17,'LSP-M8'!$A$2:$D$100,4,FALSE))," ",_xlfn.IFNA(VLOOKUP(A17&amp;" "&amp;B17,'LSP-M8'!$A$2:$D$100,4,FALSE)," "))</f>
        <v xml:space="preserve"> </v>
      </c>
    </row>
    <row r="18" spans="1:7" x14ac:dyDescent="0.35">
      <c r="A18" t="s">
        <v>8</v>
      </c>
      <c r="B18">
        <v>2</v>
      </c>
      <c r="C18">
        <f>IF(ISBLANK(VLOOKUP(A18&amp;" "&amp;B18,'LSP-M4'!$A$2:$D$100,4,FALSE))," ",_xlfn.IFNA(VLOOKUP(A18&amp;" "&amp;B18,'LSP-M4'!$A$2:$D$100,4,FALSE)," "))</f>
        <v>2.4420000000000002</v>
      </c>
      <c r="D18">
        <f>IF(ISBLANK(VLOOKUP(A18&amp;" "&amp;B18,'LSP-M5'!$A$2:$D$100,4,FALSE))," ",_xlfn.IFNA(VLOOKUP(A18&amp;" "&amp;B18,'LSP-M5'!$A$2:$D$100,4,FALSE)," "))</f>
        <v>7.1769999999999996</v>
      </c>
      <c r="E18" t="str">
        <f>IF(ISBLANK(VLOOKUP(A18&amp;" "&amp;B18,'LSP-M6'!$A$2:$D$100,4,FALSE))," ",_xlfn.IFNA(VLOOKUP(A18&amp;" "&amp;B18,'LSP-M6'!$A$2:$D$100,4,FALSE)," "))</f>
        <v xml:space="preserve"> </v>
      </c>
      <c r="F18" t="str">
        <f>IF(ISBLANK(VLOOKUP(A18&amp;" "&amp;B18,'LSP-M7'!$A$2:$D$100,4,FALSE))," ",_xlfn.IFNA(VLOOKUP(A18&amp;" "&amp;B18,'LSP-M7'!$A$2:$D$100,4,FALSE)," "))</f>
        <v xml:space="preserve"> </v>
      </c>
      <c r="G18" t="str">
        <f>IF(ISBLANK(VLOOKUP(A18&amp;" "&amp;B18,'LSP-M8'!$A$2:$D$100,4,FALSE))," ",_xlfn.IFNA(VLOOKUP(A18&amp;" "&amp;B18,'LSP-M8'!$A$2:$D$100,4,FALSE)," "))</f>
        <v xml:space="preserve"> </v>
      </c>
    </row>
    <row r="19" spans="1:7" x14ac:dyDescent="0.35">
      <c r="A19" t="s">
        <v>8</v>
      </c>
      <c r="B19">
        <v>3</v>
      </c>
      <c r="C19">
        <f>IF(ISBLANK(VLOOKUP(A19&amp;" "&amp;B19,'LSP-M4'!$A$2:$D$100,4,FALSE))," ",_xlfn.IFNA(VLOOKUP(A19&amp;" "&amp;B19,'LSP-M4'!$A$2:$D$100,4,FALSE)," "))</f>
        <v>3.9039999999999999</v>
      </c>
      <c r="D19" t="str">
        <f>IF(ISBLANK(VLOOKUP(A19&amp;" "&amp;B19,'LSP-M5'!$A$2:$D$100,4,FALSE))," ",_xlfn.IFNA(VLOOKUP(A19&amp;" "&amp;B19,'LSP-M5'!$A$2:$D$100,4,FALSE)," "))</f>
        <v xml:space="preserve"> </v>
      </c>
      <c r="E19" t="str">
        <f>IF(ISBLANK(VLOOKUP(A19&amp;" "&amp;B19,'LSP-M6'!$A$2:$D$100,4,FALSE))," ",_xlfn.IFNA(VLOOKUP(A19&amp;" "&amp;B19,'LSP-M6'!$A$2:$D$100,4,FALSE)," "))</f>
        <v xml:space="preserve"> </v>
      </c>
      <c r="F19" t="str">
        <f>IF(ISBLANK(VLOOKUP(A19&amp;" "&amp;B19,'LSP-M7'!$A$2:$D$100,4,FALSE))," ",_xlfn.IFNA(VLOOKUP(A19&amp;" "&amp;B19,'LSP-M7'!$A$2:$D$100,4,FALSE)," "))</f>
        <v xml:space="preserve"> </v>
      </c>
      <c r="G19" t="str">
        <f>IF(ISBLANK(VLOOKUP(A19&amp;" "&amp;B19,'LSP-M8'!$A$2:$D$100,4,FALSE))," ",_xlfn.IFNA(VLOOKUP(A19&amp;" "&amp;B19,'LSP-M8'!$A$2:$D$100,4,FALSE)," "))</f>
        <v xml:space="preserve"> </v>
      </c>
    </row>
    <row r="20" spans="1:7" x14ac:dyDescent="0.35">
      <c r="A20" t="s">
        <v>9</v>
      </c>
      <c r="B20">
        <v>1</v>
      </c>
      <c r="C20">
        <f>IF(ISBLANK(VLOOKUP(A20&amp;" "&amp;B20,'LSP-M4'!$A$2:$D$100,4,FALSE))," ",_xlfn.IFNA(VLOOKUP(A20&amp;" "&amp;B20,'LSP-M4'!$A$2:$D$100,4,FALSE)," "))</f>
        <v>1.3440000000000001</v>
      </c>
      <c r="D20">
        <f>IF(ISBLANK(VLOOKUP(A20&amp;" "&amp;B20,'LSP-M5'!$A$2:$D$100,4,FALSE))," ",_xlfn.IFNA(VLOOKUP(A20&amp;" "&amp;B20,'LSP-M5'!$A$2:$D$100,4,FALSE)," "))</f>
        <v>1.3440000000000001</v>
      </c>
      <c r="E20">
        <f>IF(ISBLANK(VLOOKUP(A20&amp;" "&amp;B20,'LSP-M6'!$A$2:$D$100,4,FALSE))," ",_xlfn.IFNA(VLOOKUP(A20&amp;" "&amp;B20,'LSP-M6'!$A$2:$D$100,4,FALSE)," "))</f>
        <v>2.73</v>
      </c>
      <c r="F20" t="str">
        <f>IF(ISBLANK(VLOOKUP(A20&amp;" "&amp;B20,'LSP-M7'!$A$2:$D$100,4,FALSE))," ",_xlfn.IFNA(VLOOKUP(A20&amp;" "&amp;B20,'LSP-M7'!$A$2:$D$100,4,FALSE)," "))</f>
        <v xml:space="preserve"> </v>
      </c>
      <c r="G20" t="str">
        <f>IF(ISBLANK(VLOOKUP(A20&amp;" "&amp;B20,'LSP-M8'!$A$2:$D$100,4,FALSE))," ",_xlfn.IFNA(VLOOKUP(A20&amp;" "&amp;B20,'LSP-M8'!$A$2:$D$100,4,FALSE)," "))</f>
        <v xml:space="preserve"> </v>
      </c>
    </row>
    <row r="21" spans="1:7" x14ac:dyDescent="0.35">
      <c r="A21" t="s">
        <v>9</v>
      </c>
      <c r="B21">
        <v>2</v>
      </c>
      <c r="C21">
        <f>IF(ISBLANK(VLOOKUP(A21&amp;" "&amp;B21,'LSP-M4'!$A$2:$D$100,4,FALSE))," ",_xlfn.IFNA(VLOOKUP(A21&amp;" "&amp;B21,'LSP-M4'!$A$2:$D$100,4,FALSE)," "))</f>
        <v>8.3629999999999995</v>
      </c>
      <c r="D21" t="str">
        <f>IF(ISBLANK(VLOOKUP(A21&amp;" "&amp;B21,'LSP-M5'!$A$2:$D$100,4,FALSE))," ",_xlfn.IFNA(VLOOKUP(A21&amp;" "&amp;B21,'LSP-M5'!$A$2:$D$100,4,FALSE)," "))</f>
        <v xml:space="preserve"> </v>
      </c>
      <c r="E21" t="str">
        <f>IF(ISBLANK(VLOOKUP(A21&amp;" "&amp;B21,'LSP-M6'!$A$2:$D$100,4,FALSE))," ",_xlfn.IFNA(VLOOKUP(A21&amp;" "&amp;B21,'LSP-M6'!$A$2:$D$100,4,FALSE)," "))</f>
        <v xml:space="preserve"> </v>
      </c>
      <c r="F21" t="str">
        <f>IF(ISBLANK(VLOOKUP(A21&amp;" "&amp;B21,'LSP-M7'!$A$2:$D$100,4,FALSE))," ",_xlfn.IFNA(VLOOKUP(A21&amp;" "&amp;B21,'LSP-M7'!$A$2:$D$100,4,FALSE)," "))</f>
        <v xml:space="preserve"> </v>
      </c>
      <c r="G21" t="str">
        <f>IF(ISBLANK(VLOOKUP(A21&amp;" "&amp;B21,'LSP-M8'!$A$2:$D$100,4,FALSE))," ",_xlfn.IFNA(VLOOKUP(A21&amp;" "&amp;B21,'LSP-M8'!$A$2:$D$100,4,FALSE)," "))</f>
        <v xml:space="preserve"> </v>
      </c>
    </row>
    <row r="22" spans="1:7" x14ac:dyDescent="0.35">
      <c r="A22" t="s">
        <v>10</v>
      </c>
      <c r="B22">
        <v>1</v>
      </c>
      <c r="C22">
        <f>IF(ISBLANK(VLOOKUP(A22&amp;" "&amp;B22,'LSP-M4'!$A$2:$D$100,4,FALSE))," ",_xlfn.IFNA(VLOOKUP(A22&amp;" "&amp;B22,'LSP-M4'!$A$2:$D$100,4,FALSE)," "))</f>
        <v>1.069</v>
      </c>
      <c r="D22">
        <f>IF(ISBLANK(VLOOKUP(A22&amp;" "&amp;B22,'LSP-M5'!$A$2:$D$100,4,FALSE))," ",_xlfn.IFNA(VLOOKUP(A22&amp;" "&amp;B22,'LSP-M5'!$A$2:$D$100,4,FALSE)," "))</f>
        <v>1.069</v>
      </c>
      <c r="E22">
        <f>IF(ISBLANK(VLOOKUP(A22&amp;" "&amp;B22,'LSP-M6'!$A$2:$D$100,4,FALSE))," ",_xlfn.IFNA(VLOOKUP(A22&amp;" "&amp;B22,'LSP-M6'!$A$2:$D$100,4,FALSE)," "))</f>
        <v>1.069</v>
      </c>
      <c r="F22">
        <f>IF(ISBLANK(VLOOKUP(A22&amp;" "&amp;B22,'LSP-M7'!$A$2:$D$100,4,FALSE))," ",_xlfn.IFNA(VLOOKUP(A22&amp;" "&amp;B22,'LSP-M7'!$A$2:$D$100,4,FALSE)," "))</f>
        <v>2.448</v>
      </c>
      <c r="G22" t="str">
        <f>IF(ISBLANK(VLOOKUP(A22&amp;" "&amp;B22,'LSP-M8'!$A$2:$D$100,4,FALSE))," ",_xlfn.IFNA(VLOOKUP(A22&amp;" "&amp;B22,'LSP-M8'!$A$2:$D$100,4,FALSE)," "))</f>
        <v xml:space="preserve"> </v>
      </c>
    </row>
    <row r="23" spans="1:7" x14ac:dyDescent="0.35">
      <c r="A23" t="s">
        <v>10</v>
      </c>
      <c r="B23">
        <v>2</v>
      </c>
      <c r="C23">
        <f>IF(ISBLANK(VLOOKUP(A23&amp;" "&amp;B23,'LSP-M4'!$A$2:$D$100,4,FALSE))," ",_xlfn.IFNA(VLOOKUP(A23&amp;" "&amp;B23,'LSP-M4'!$A$2:$D$100,4,FALSE)," "))</f>
        <v>1.75</v>
      </c>
      <c r="D23">
        <f>IF(ISBLANK(VLOOKUP(A23&amp;" "&amp;B23,'LSP-M5'!$A$2:$D$100,4,FALSE))," ",_xlfn.IFNA(VLOOKUP(A23&amp;" "&amp;B23,'LSP-M5'!$A$2:$D$100,4,FALSE)," "))</f>
        <v>2.0720000000000001</v>
      </c>
      <c r="E23">
        <f>IF(ISBLANK(VLOOKUP(A23&amp;" "&amp;B23,'LSP-M6'!$A$2:$D$100,4,FALSE))," ",_xlfn.IFNA(VLOOKUP(A23&amp;" "&amp;B23,'LSP-M6'!$A$2:$D$100,4,FALSE)," "))</f>
        <v>22.207000000000001</v>
      </c>
      <c r="F23" t="str">
        <f>IF(ISBLANK(VLOOKUP(A23&amp;" "&amp;B23,'LSP-M7'!$A$2:$D$100,4,FALSE))," ",_xlfn.IFNA(VLOOKUP(A23&amp;" "&amp;B23,'LSP-M7'!$A$2:$D$100,4,FALSE)," "))</f>
        <v xml:space="preserve"> </v>
      </c>
      <c r="G23" t="str">
        <f>IF(ISBLANK(VLOOKUP(A23&amp;" "&amp;B23,'LSP-M8'!$A$2:$D$100,4,FALSE))," ",_xlfn.IFNA(VLOOKUP(A23&amp;" "&amp;B23,'LSP-M8'!$A$2:$D$100,4,FALSE)," "))</f>
        <v xml:space="preserve"> </v>
      </c>
    </row>
    <row r="24" spans="1:7" x14ac:dyDescent="0.35">
      <c r="A24" t="s">
        <v>10</v>
      </c>
      <c r="B24">
        <v>3</v>
      </c>
      <c r="C24">
        <f>IF(ISBLANK(VLOOKUP(A24&amp;" "&amp;B24,'LSP-M4'!$A$2:$D$100,4,FALSE))," ",_xlfn.IFNA(VLOOKUP(A24&amp;" "&amp;B24,'LSP-M4'!$A$2:$D$100,4,FALSE)," "))</f>
        <v>2.1349999999999998</v>
      </c>
      <c r="D24">
        <f>IF(ISBLANK(VLOOKUP(A24&amp;" "&amp;B24,'LSP-M5'!$A$2:$D$100,4,FALSE))," ",_xlfn.IFNA(VLOOKUP(A24&amp;" "&amp;B24,'LSP-M5'!$A$2:$D$100,4,FALSE)," "))</f>
        <v>3.5169999999999999</v>
      </c>
      <c r="E24" t="str">
        <f>IF(ISBLANK(VLOOKUP(A24&amp;" "&amp;B24,'LSP-M6'!$A$2:$D$100,4,FALSE))," ",_xlfn.IFNA(VLOOKUP(A24&amp;" "&amp;B24,'LSP-M6'!$A$2:$D$100,4,FALSE)," "))</f>
        <v xml:space="preserve"> </v>
      </c>
      <c r="F24" t="str">
        <f>IF(ISBLANK(VLOOKUP(A24&amp;" "&amp;B24,'LSP-M7'!$A$2:$D$100,4,FALSE))," ",_xlfn.IFNA(VLOOKUP(A24&amp;" "&amp;B24,'LSP-M7'!$A$2:$D$100,4,FALSE)," "))</f>
        <v xml:space="preserve"> </v>
      </c>
      <c r="G24" t="str">
        <f>IF(ISBLANK(VLOOKUP(A24&amp;" "&amp;B24,'LSP-M8'!$A$2:$D$100,4,FALSE))," ",_xlfn.IFNA(VLOOKUP(A24&amp;" "&amp;B24,'LSP-M8'!$A$2:$D$100,4,FALSE)," "))</f>
        <v xml:space="preserve"> </v>
      </c>
    </row>
    <row r="25" spans="1:7" x14ac:dyDescent="0.35">
      <c r="A25" t="s">
        <v>11</v>
      </c>
      <c r="B25">
        <v>1</v>
      </c>
      <c r="C25">
        <f>IF(ISBLANK(VLOOKUP(A25&amp;" "&amp;B25,'LSP-M4'!$A$2:$D$100,4,FALSE))," ",_xlfn.IFNA(VLOOKUP(A25&amp;" "&amp;B25,'LSP-M4'!$A$2:$D$100,4,FALSE)," "))</f>
        <v>2.6579999999999999</v>
      </c>
      <c r="D25">
        <f>IF(ISBLANK(VLOOKUP(A25&amp;" "&amp;B25,'LSP-M5'!$A$2:$D$100,4,FALSE))," ",_xlfn.IFNA(VLOOKUP(A25&amp;" "&amp;B25,'LSP-M5'!$A$2:$D$100,4,FALSE)," "))</f>
        <v>2.6579999999999999</v>
      </c>
      <c r="E25">
        <f>IF(ISBLANK(VLOOKUP(A25&amp;" "&amp;B25,'LSP-M6'!$A$2:$D$100,4,FALSE))," ",_xlfn.IFNA(VLOOKUP(A25&amp;" "&amp;B25,'LSP-M6'!$A$2:$D$100,4,FALSE)," "))</f>
        <v>3.0059999999999998</v>
      </c>
      <c r="F25" t="str">
        <f>IF(ISBLANK(VLOOKUP(A25&amp;" "&amp;B25,'LSP-M7'!$A$2:$D$100,4,FALSE))," ",_xlfn.IFNA(VLOOKUP(A25&amp;" "&amp;B25,'LSP-M7'!$A$2:$D$100,4,FALSE)," "))</f>
        <v xml:space="preserve"> </v>
      </c>
      <c r="G25" t="str">
        <f>IF(ISBLANK(VLOOKUP(A25&amp;" "&amp;B25,'LSP-M8'!$A$2:$D$100,4,FALSE))," ",_xlfn.IFNA(VLOOKUP(A25&amp;" "&amp;B25,'LSP-M8'!$A$2:$D$100,4,FALSE)," "))</f>
        <v xml:space="preserve"> </v>
      </c>
    </row>
    <row r="26" spans="1:7" x14ac:dyDescent="0.35">
      <c r="A26" t="s">
        <v>11</v>
      </c>
      <c r="B26">
        <v>2</v>
      </c>
      <c r="C26">
        <f>IF(ISBLANK(VLOOKUP(A26&amp;" "&amp;B26,'LSP-M4'!$A$2:$D$100,4,FALSE))," ",_xlfn.IFNA(VLOOKUP(A26&amp;" "&amp;B26,'LSP-M4'!$A$2:$D$100,4,FALSE)," "))</f>
        <v>2.3889999999999998</v>
      </c>
      <c r="D26">
        <f>IF(ISBLANK(VLOOKUP(A26&amp;" "&amp;B26,'LSP-M5'!$A$2:$D$100,4,FALSE))," ",_xlfn.IFNA(VLOOKUP(A26&amp;" "&amp;B26,'LSP-M5'!$A$2:$D$100,4,FALSE)," "))</f>
        <v>1.8660000000000001</v>
      </c>
      <c r="E26">
        <f>IF(ISBLANK(VLOOKUP(A26&amp;" "&amp;B26,'LSP-M6'!$A$2:$D$100,4,FALSE))," ",_xlfn.IFNA(VLOOKUP(A26&amp;" "&amp;B26,'LSP-M6'!$A$2:$D$100,4,FALSE)," "))</f>
        <v>9.0570000000000004</v>
      </c>
      <c r="F26" t="str">
        <f>IF(ISBLANK(VLOOKUP(A26&amp;" "&amp;B26,'LSP-M7'!$A$2:$D$100,4,FALSE))," ",_xlfn.IFNA(VLOOKUP(A26&amp;" "&amp;B26,'LSP-M7'!$A$2:$D$100,4,FALSE)," "))</f>
        <v xml:space="preserve"> </v>
      </c>
      <c r="G26" t="str">
        <f>IF(ISBLANK(VLOOKUP(A26&amp;" "&amp;B26,'LSP-M8'!$A$2:$D$100,4,FALSE))," ",_xlfn.IFNA(VLOOKUP(A26&amp;" "&amp;B26,'LSP-M8'!$A$2:$D$100,4,FALSE)," "))</f>
        <v xml:space="preserve"> </v>
      </c>
    </row>
    <row r="27" spans="1:7" x14ac:dyDescent="0.35">
      <c r="A27" t="s">
        <v>11</v>
      </c>
      <c r="B27">
        <v>3</v>
      </c>
      <c r="C27">
        <f>IF(ISBLANK(VLOOKUP(A27&amp;" "&amp;B27,'LSP-M4'!$A$2:$D$100,4,FALSE))," ",_xlfn.IFNA(VLOOKUP(A27&amp;" "&amp;B27,'LSP-M4'!$A$2:$D$100,4,FALSE)," "))</f>
        <v>2.3410000000000002</v>
      </c>
      <c r="D27">
        <f>IF(ISBLANK(VLOOKUP(A27&amp;" "&amp;B27,'LSP-M5'!$A$2:$D$100,4,FALSE))," ",_xlfn.IFNA(VLOOKUP(A27&amp;" "&amp;B27,'LSP-M5'!$A$2:$D$100,4,FALSE)," "))</f>
        <v>1.8320000000000001</v>
      </c>
      <c r="E27">
        <f>IF(ISBLANK(VLOOKUP(A27&amp;" "&amp;B27,'LSP-M6'!$A$2:$D$100,4,FALSE))," ",_xlfn.IFNA(VLOOKUP(A27&amp;" "&amp;B27,'LSP-M6'!$A$2:$D$100,4,FALSE)," "))</f>
        <v>8.9019999999999992</v>
      </c>
      <c r="F27" t="str">
        <f>IF(ISBLANK(VLOOKUP(A27&amp;" "&amp;B27,'LSP-M7'!$A$2:$D$100,4,FALSE))," ",_xlfn.IFNA(VLOOKUP(A27&amp;" "&amp;B27,'LSP-M7'!$A$2:$D$100,4,FALSE)," "))</f>
        <v xml:space="preserve"> </v>
      </c>
      <c r="G27" t="str">
        <f>IF(ISBLANK(VLOOKUP(A27&amp;" "&amp;B27,'LSP-M8'!$A$2:$D$100,4,FALSE))," ",_xlfn.IFNA(VLOOKUP(A27&amp;" "&amp;B27,'LSP-M8'!$A$2:$D$100,4,FALSE)," "))</f>
        <v xml:space="preserve"> </v>
      </c>
    </row>
    <row r="28" spans="1:7" x14ac:dyDescent="0.35">
      <c r="A28" t="s">
        <v>12</v>
      </c>
      <c r="B28">
        <v>1</v>
      </c>
      <c r="C28">
        <f>IF(ISBLANK(VLOOKUP(A28&amp;" "&amp;B28,'LSP-M4'!$A$2:$D$100,4,FALSE))," ",_xlfn.IFNA(VLOOKUP(A28&amp;" "&amp;B28,'LSP-M4'!$A$2:$D$100,4,FALSE)," "))</f>
        <v>1.224</v>
      </c>
      <c r="D28">
        <f>IF(ISBLANK(VLOOKUP(A28&amp;" "&amp;B28,'LSP-M5'!$A$2:$D$100,4,FALSE))," ",_xlfn.IFNA(VLOOKUP(A28&amp;" "&amp;B28,'LSP-M5'!$A$2:$D$100,4,FALSE)," "))</f>
        <v>1.224</v>
      </c>
      <c r="E28">
        <f>IF(ISBLANK(VLOOKUP(A28&amp;" "&amp;B28,'LSP-M6'!$A$2:$D$100,4,FALSE))," ",_xlfn.IFNA(VLOOKUP(A28&amp;" "&amp;B28,'LSP-M6'!$A$2:$D$100,4,FALSE)," "))</f>
        <v>3.4249999999999998</v>
      </c>
      <c r="F28" t="str">
        <f>IF(ISBLANK(VLOOKUP(A28&amp;" "&amp;B28,'LSP-M7'!$A$2:$D$100,4,FALSE))," ",_xlfn.IFNA(VLOOKUP(A28&amp;" "&amp;B28,'LSP-M7'!$A$2:$D$100,4,FALSE)," "))</f>
        <v xml:space="preserve"> </v>
      </c>
      <c r="G28" t="str">
        <f>IF(ISBLANK(VLOOKUP(A28&amp;" "&amp;B28,'LSP-M8'!$A$2:$D$100,4,FALSE))," ",_xlfn.IFNA(VLOOKUP(A28&amp;" "&amp;B28,'LSP-M8'!$A$2:$D$100,4,FALSE)," "))</f>
        <v xml:space="preserve"> </v>
      </c>
    </row>
    <row r="29" spans="1:7" x14ac:dyDescent="0.35">
      <c r="A29" t="s">
        <v>12</v>
      </c>
      <c r="B29">
        <v>2</v>
      </c>
      <c r="C29">
        <f>IF(ISBLANK(VLOOKUP(A29&amp;" "&amp;B29,'LSP-M4'!$A$2:$D$100,4,FALSE))," ",_xlfn.IFNA(VLOOKUP(A29&amp;" "&amp;B29,'LSP-M4'!$A$2:$D$100,4,FALSE)," "))</f>
        <v>1.6830000000000001</v>
      </c>
      <c r="D29">
        <f>IF(ISBLANK(VLOOKUP(A29&amp;" "&amp;B29,'LSP-M5'!$A$2:$D$100,4,FALSE))," ",_xlfn.IFNA(VLOOKUP(A29&amp;" "&amp;B29,'LSP-M5'!$A$2:$D$100,4,FALSE)," "))</f>
        <v>1.7929999999999999</v>
      </c>
      <c r="E29">
        <f>IF(ISBLANK(VLOOKUP(A29&amp;" "&amp;B29,'LSP-M6'!$A$2:$D$100,4,FALSE))," ",_xlfn.IFNA(VLOOKUP(A29&amp;" "&amp;B29,'LSP-M6'!$A$2:$D$100,4,FALSE)," "))</f>
        <v>5.9720000000000004</v>
      </c>
      <c r="F29" t="str">
        <f>IF(ISBLANK(VLOOKUP(A29&amp;" "&amp;B29,'LSP-M7'!$A$2:$D$100,4,FALSE))," ",_xlfn.IFNA(VLOOKUP(A29&amp;" "&amp;B29,'LSP-M7'!$A$2:$D$100,4,FALSE)," "))</f>
        <v xml:space="preserve"> </v>
      </c>
      <c r="G29" t="str">
        <f>IF(ISBLANK(VLOOKUP(A29&amp;" "&amp;B29,'LSP-M8'!$A$2:$D$100,4,FALSE))," ",_xlfn.IFNA(VLOOKUP(A29&amp;" "&amp;B29,'LSP-M8'!$A$2:$D$100,4,FALSE)," "))</f>
        <v xml:space="preserve"> </v>
      </c>
    </row>
    <row r="30" spans="1:7" x14ac:dyDescent="0.35">
      <c r="A30" t="s">
        <v>12</v>
      </c>
      <c r="B30">
        <v>3</v>
      </c>
      <c r="C30">
        <f>IF(ISBLANK(VLOOKUP(A30&amp;" "&amp;B30,'LSP-M4'!$A$2:$D$100,4,FALSE))," ",_xlfn.IFNA(VLOOKUP(A30&amp;" "&amp;B30,'LSP-M4'!$A$2:$D$100,4,FALSE)," "))</f>
        <v>1.804</v>
      </c>
      <c r="D30">
        <f>IF(ISBLANK(VLOOKUP(A30&amp;" "&amp;B30,'LSP-M5'!$A$2:$D$100,4,FALSE))," ",_xlfn.IFNA(VLOOKUP(A30&amp;" "&amp;B30,'LSP-M5'!$A$2:$D$100,4,FALSE)," "))</f>
        <v>1.6739999999999999</v>
      </c>
      <c r="E30" t="str">
        <f>IF(ISBLANK(VLOOKUP(A30&amp;" "&amp;B30,'LSP-M6'!$A$2:$D$100,4,FALSE))," ",_xlfn.IFNA(VLOOKUP(A30&amp;" "&amp;B30,'LSP-M6'!$A$2:$D$100,4,FALSE)," "))</f>
        <v xml:space="preserve"> </v>
      </c>
      <c r="F30" t="str">
        <f>IF(ISBLANK(VLOOKUP(A30&amp;" "&amp;B30,'LSP-M7'!$A$2:$D$100,4,FALSE))," ",_xlfn.IFNA(VLOOKUP(A30&amp;" "&amp;B30,'LSP-M7'!$A$2:$D$100,4,FALSE)," "))</f>
        <v xml:space="preserve"> </v>
      </c>
      <c r="G30" t="str">
        <f>IF(ISBLANK(VLOOKUP(A30&amp;" "&amp;B30,'LSP-M8'!$A$2:$D$100,4,FALSE))," ",_xlfn.IFNA(VLOOKUP(A30&amp;" "&amp;B30,'LSP-M8'!$A$2:$D$100,4,FALSE)," "))</f>
        <v xml:space="preserve"> </v>
      </c>
    </row>
    <row r="31" spans="1:7" x14ac:dyDescent="0.35">
      <c r="A31" t="s">
        <v>13</v>
      </c>
      <c r="B31">
        <v>1</v>
      </c>
      <c r="C31">
        <f>IF(ISBLANK(VLOOKUP(A31&amp;" "&amp;B31,'LSP-M4'!$A$2:$D$100,4,FALSE))," ",_xlfn.IFNA(VLOOKUP(A31&amp;" "&amp;B31,'LSP-M4'!$A$2:$D$100,4,FALSE)," "))</f>
        <v>1.585</v>
      </c>
      <c r="D31">
        <f>IF(ISBLANK(VLOOKUP(A31&amp;" "&amp;B31,'LSP-M5'!$A$2:$D$100,4,FALSE))," ",_xlfn.IFNA(VLOOKUP(A31&amp;" "&amp;B31,'LSP-M5'!$A$2:$D$100,4,FALSE)," "))</f>
        <v>1.585</v>
      </c>
      <c r="E31">
        <f>IF(ISBLANK(VLOOKUP(A31&amp;" "&amp;B31,'LSP-M6'!$A$2:$D$100,4,FALSE))," ",_xlfn.IFNA(VLOOKUP(A31&amp;" "&amp;B31,'LSP-M6'!$A$2:$D$100,4,FALSE)," "))</f>
        <v>4.1959999999999997</v>
      </c>
      <c r="F31" t="str">
        <f>IF(ISBLANK(VLOOKUP(A31&amp;" "&amp;B31,'LSP-M7'!$A$2:$D$100,4,FALSE))," ",_xlfn.IFNA(VLOOKUP(A31&amp;" "&amp;B31,'LSP-M7'!$A$2:$D$100,4,FALSE)," "))</f>
        <v xml:space="preserve"> </v>
      </c>
      <c r="G31" t="str">
        <f>IF(ISBLANK(VLOOKUP(A31&amp;" "&amp;B31,'LSP-M8'!$A$2:$D$100,4,FALSE))," ",_xlfn.IFNA(VLOOKUP(A31&amp;" "&amp;B31,'LSP-M8'!$A$2:$D$100,4,FALSE)," "))</f>
        <v xml:space="preserve"> </v>
      </c>
    </row>
    <row r="32" spans="1:7" x14ac:dyDescent="0.35">
      <c r="A32" t="s">
        <v>13</v>
      </c>
      <c r="B32">
        <v>2</v>
      </c>
      <c r="C32">
        <f>IF(ISBLANK(VLOOKUP(A32&amp;" "&amp;B32,'LSP-M4'!$A$2:$D$100,4,FALSE))," ",_xlfn.IFNA(VLOOKUP(A32&amp;" "&amp;B32,'LSP-M4'!$A$2:$D$100,4,FALSE)," "))</f>
        <v>1.9450000000000001</v>
      </c>
      <c r="D32">
        <f>IF(ISBLANK(VLOOKUP(A32&amp;" "&amp;B32,'LSP-M5'!$A$2:$D$100,4,FALSE))," ",_xlfn.IFNA(VLOOKUP(A32&amp;" "&amp;B32,'LSP-M5'!$A$2:$D$100,4,FALSE)," "))</f>
        <v>1.944</v>
      </c>
      <c r="E32" t="str">
        <f>IF(ISBLANK(VLOOKUP(A32&amp;" "&amp;B32,'LSP-M6'!$A$2:$D$100,4,FALSE))," ",_xlfn.IFNA(VLOOKUP(A32&amp;" "&amp;B32,'LSP-M6'!$A$2:$D$100,4,FALSE)," "))</f>
        <v xml:space="preserve"> </v>
      </c>
      <c r="F32" t="str">
        <f>IF(ISBLANK(VLOOKUP(A32&amp;" "&amp;B32,'LSP-M7'!$A$2:$D$100,4,FALSE))," ",_xlfn.IFNA(VLOOKUP(A32&amp;" "&amp;B32,'LSP-M7'!$A$2:$D$100,4,FALSE)," "))</f>
        <v xml:space="preserve"> </v>
      </c>
      <c r="G32" t="str">
        <f>IF(ISBLANK(VLOOKUP(A32&amp;" "&amp;B32,'LSP-M8'!$A$2:$D$100,4,FALSE))," ",_xlfn.IFNA(VLOOKUP(A32&amp;" "&amp;B32,'LSP-M8'!$A$2:$D$100,4,FALSE)," "))</f>
        <v xml:space="preserve"> </v>
      </c>
    </row>
    <row r="33" spans="1:7" x14ac:dyDescent="0.35">
      <c r="A33" t="s">
        <v>13</v>
      </c>
      <c r="B33">
        <v>3</v>
      </c>
      <c r="C33">
        <f>IF(ISBLANK(VLOOKUP(A33&amp;" "&amp;B33,'LSP-M4'!$A$2:$D$100,4,FALSE))," ",_xlfn.IFNA(VLOOKUP(A33&amp;" "&amp;B33,'LSP-M4'!$A$2:$D$100,4,FALSE)," "))</f>
        <v>2.2050000000000001</v>
      </c>
      <c r="D33">
        <f>IF(ISBLANK(VLOOKUP(A33&amp;" "&amp;B33,'LSP-M5'!$A$2:$D$100,4,FALSE))," ",_xlfn.IFNA(VLOOKUP(A33&amp;" "&amp;B33,'LSP-M5'!$A$2:$D$100,4,FALSE)," "))</f>
        <v>3.6059999999999999</v>
      </c>
      <c r="E33">
        <f>IF(ISBLANK(VLOOKUP(A33&amp;" "&amp;B33,'LSP-M6'!$A$2:$D$100,4,FALSE))," ",_xlfn.IFNA(VLOOKUP(A33&amp;" "&amp;B33,'LSP-M6'!$A$2:$D$100,4,FALSE)," "))</f>
        <v>10.657</v>
      </c>
      <c r="F33" t="str">
        <f>IF(ISBLANK(VLOOKUP(A33&amp;" "&amp;B33,'LSP-M7'!$A$2:$D$100,4,FALSE))," ",_xlfn.IFNA(VLOOKUP(A33&amp;" "&amp;B33,'LSP-M7'!$A$2:$D$100,4,FALSE)," "))</f>
        <v xml:space="preserve"> </v>
      </c>
      <c r="G33" t="str">
        <f>IF(ISBLANK(VLOOKUP(A33&amp;" "&amp;B33,'LSP-M8'!$A$2:$D$100,4,FALSE))," ",_xlfn.IFNA(VLOOKUP(A33&amp;" "&amp;B33,'LSP-M8'!$A$2:$D$100,4,FALSE)," "))</f>
        <v xml:space="preserve"> </v>
      </c>
    </row>
    <row r="34" spans="1:7" x14ac:dyDescent="0.35">
      <c r="A34" t="s">
        <v>14</v>
      </c>
      <c r="B34">
        <v>1</v>
      </c>
      <c r="C34">
        <f>IF(ISBLANK(VLOOKUP(A34&amp;" "&amp;B34,'LSP-M4'!$A$2:$D$100,4,FALSE))," ",_xlfn.IFNA(VLOOKUP(A34&amp;" "&amp;B34,'LSP-M4'!$A$2:$D$100,4,FALSE)," "))</f>
        <v>1.4339999999999999</v>
      </c>
      <c r="D34">
        <f>IF(ISBLANK(VLOOKUP(A34&amp;" "&amp;B34,'LSP-M5'!$A$2:$D$100,4,FALSE))," ",_xlfn.IFNA(VLOOKUP(A34&amp;" "&amp;B34,'LSP-M5'!$A$2:$D$100,4,FALSE)," "))</f>
        <v>1.4339999999999999</v>
      </c>
      <c r="E34">
        <f>IF(ISBLANK(VLOOKUP(A34&amp;" "&amp;B34,'LSP-M6'!$A$2:$D$100,4,FALSE))," ",_xlfn.IFNA(VLOOKUP(A34&amp;" "&amp;B34,'LSP-M6'!$A$2:$D$100,4,FALSE)," "))</f>
        <v>5.6859999999999999</v>
      </c>
      <c r="F34" t="str">
        <f>IF(ISBLANK(VLOOKUP(A34&amp;" "&amp;B34,'LSP-M7'!$A$2:$D$100,4,FALSE))," ",_xlfn.IFNA(VLOOKUP(A34&amp;" "&amp;B34,'LSP-M7'!$A$2:$D$100,4,FALSE)," "))</f>
        <v xml:space="preserve"> </v>
      </c>
      <c r="G34" t="str">
        <f>IF(ISBLANK(VLOOKUP(A34&amp;" "&amp;B34,'LSP-M8'!$A$2:$D$100,4,FALSE))," ",_xlfn.IFNA(VLOOKUP(A34&amp;" "&amp;B34,'LSP-M8'!$A$2:$D$100,4,FALSE)," "))</f>
        <v xml:space="preserve"> </v>
      </c>
    </row>
    <row r="35" spans="1:7" x14ac:dyDescent="0.35">
      <c r="A35" t="s">
        <v>15</v>
      </c>
      <c r="B35">
        <v>1</v>
      </c>
      <c r="C35">
        <f>IF(ISBLANK(VLOOKUP(A35&amp;" "&amp;B35,'LSP-M4'!$A$2:$D$100,4,FALSE))," ",_xlfn.IFNA(VLOOKUP(A35&amp;" "&amp;B35,'LSP-M4'!$A$2:$D$100,4,FALSE)," "))</f>
        <v>2.2549999999999999</v>
      </c>
      <c r="D35">
        <f>IF(ISBLANK(VLOOKUP(A35&amp;" "&amp;B35,'LSP-M5'!$A$2:$D$100,4,FALSE))," ",_xlfn.IFNA(VLOOKUP(A35&amp;" "&amp;B35,'LSP-M5'!$A$2:$D$100,4,FALSE)," "))</f>
        <v>2.2549999999999999</v>
      </c>
      <c r="E35">
        <f>IF(ISBLANK(VLOOKUP(A35&amp;" "&amp;B35,'LSP-M6'!$A$2:$D$100,4,FALSE))," ",_xlfn.IFNA(VLOOKUP(A35&amp;" "&amp;B35,'LSP-M6'!$A$2:$D$100,4,FALSE)," "))</f>
        <v>7.09</v>
      </c>
      <c r="F35" t="str">
        <f>IF(ISBLANK(VLOOKUP(A35&amp;" "&amp;B35,'LSP-M7'!$A$2:$D$100,4,FALSE))," ",_xlfn.IFNA(VLOOKUP(A35&amp;" "&amp;B35,'LSP-M7'!$A$2:$D$100,4,FALSE)," "))</f>
        <v xml:space="preserve"> </v>
      </c>
      <c r="G35" t="str">
        <f>IF(ISBLANK(VLOOKUP(A35&amp;" "&amp;B35,'LSP-M8'!$A$2:$D$100,4,FALSE))," ",_xlfn.IFNA(VLOOKUP(A35&amp;" "&amp;B35,'LSP-M8'!$A$2:$D$100,4,FALSE)," "))</f>
        <v xml:space="preserve"> </v>
      </c>
    </row>
    <row r="36" spans="1:7" x14ac:dyDescent="0.35">
      <c r="A36" t="s">
        <v>16</v>
      </c>
      <c r="B36">
        <v>1</v>
      </c>
      <c r="C36">
        <f>IF(ISBLANK(VLOOKUP(A36&amp;" "&amp;B36,'LSP-M4'!$A$2:$D$100,4,FALSE))," ",_xlfn.IFNA(VLOOKUP(A36&amp;" "&amp;B36,'LSP-M4'!$A$2:$D$100,4,FALSE)," "))</f>
        <v>2.09</v>
      </c>
      <c r="D36">
        <f>IF(ISBLANK(VLOOKUP(A36&amp;" "&amp;B36,'LSP-M5'!$A$2:$D$100,4,FALSE))," ",_xlfn.IFNA(VLOOKUP(A36&amp;" "&amp;B36,'LSP-M5'!$A$2:$D$100,4,FALSE)," "))</f>
        <v>2.09</v>
      </c>
      <c r="E36">
        <f>IF(ISBLANK(VLOOKUP(A36&amp;" "&amp;B36,'LSP-M6'!$A$2:$D$100,4,FALSE))," ",_xlfn.IFNA(VLOOKUP(A36&amp;" "&amp;B36,'LSP-M6'!$A$2:$D$100,4,FALSE)," "))</f>
        <v>6.0940000000000003</v>
      </c>
      <c r="F36">
        <f>IF(ISBLANK(VLOOKUP(A36&amp;" "&amp;B36,'LSP-M7'!$A$2:$D$100,4,FALSE))," ",_xlfn.IFNA(VLOOKUP(A36&amp;" "&amp;B36,'LSP-M7'!$A$2:$D$100,4,FALSE)," "))</f>
        <v>11.682</v>
      </c>
      <c r="G36" t="str">
        <f>IF(ISBLANK(VLOOKUP(A36&amp;" "&amp;B36,'LSP-M8'!$A$2:$D$100,4,FALSE))," ",_xlfn.IFNA(VLOOKUP(A36&amp;" "&amp;B36,'LSP-M8'!$A$2:$D$100,4,FALSE)," "))</f>
        <v xml:space="preserve"> </v>
      </c>
    </row>
    <row r="37" spans="1:7" x14ac:dyDescent="0.35">
      <c r="A37" t="s">
        <v>17</v>
      </c>
      <c r="B37">
        <v>1</v>
      </c>
      <c r="C37">
        <f>IF(ISBLANK(VLOOKUP(A37&amp;" "&amp;B37,'LSP-M4'!$A$2:$D$100,4,FALSE))," ",_xlfn.IFNA(VLOOKUP(A37&amp;" "&amp;B37,'LSP-M4'!$A$2:$D$100,4,FALSE)," "))</f>
        <v>3.1560000000000001</v>
      </c>
      <c r="D37">
        <f>IF(ISBLANK(VLOOKUP(A37&amp;" "&amp;B37,'LSP-M5'!$A$2:$D$100,4,FALSE))," ",_xlfn.IFNA(VLOOKUP(A37&amp;" "&amp;B37,'LSP-M5'!$A$2:$D$100,4,FALSE)," "))</f>
        <v>2.2629999999999999</v>
      </c>
      <c r="E37">
        <f>IF(ISBLANK(VLOOKUP(A37&amp;" "&amp;B37,'LSP-M6'!$A$2:$D$100,4,FALSE))," ",_xlfn.IFNA(VLOOKUP(A37&amp;" "&amp;B37,'LSP-M6'!$A$2:$D$100,4,FALSE)," "))</f>
        <v>4.867</v>
      </c>
      <c r="F37" t="str">
        <f>IF(ISBLANK(VLOOKUP(A37&amp;" "&amp;B37,'LSP-M7'!$A$2:$D$100,4,FALSE))," ",_xlfn.IFNA(VLOOKUP(A37&amp;" "&amp;B37,'LSP-M7'!$A$2:$D$100,4,FALSE)," "))</f>
        <v xml:space="preserve"> </v>
      </c>
      <c r="G37" t="str">
        <f>IF(ISBLANK(VLOOKUP(A37&amp;" "&amp;B37,'LSP-M8'!$A$2:$D$100,4,FALSE))," ",_xlfn.IFNA(VLOOKUP(A37&amp;" "&amp;B37,'LSP-M8'!$A$2:$D$100,4,FALSE)," "))</f>
        <v xml:space="preserve"> </v>
      </c>
    </row>
    <row r="38" spans="1:7" x14ac:dyDescent="0.35">
      <c r="A38" t="s">
        <v>17</v>
      </c>
      <c r="B38">
        <v>2</v>
      </c>
      <c r="C38">
        <f>IF(ISBLANK(VLOOKUP(A38&amp;" "&amp;B38,'LSP-M4'!$A$2:$D$100,4,FALSE))," ",_xlfn.IFNA(VLOOKUP(A38&amp;" "&amp;B38,'LSP-M4'!$A$2:$D$100,4,FALSE)," "))</f>
        <v>3.96</v>
      </c>
      <c r="D38" t="str">
        <f>IF(ISBLANK(VLOOKUP(A38&amp;" "&amp;B38,'LSP-M5'!$A$2:$D$100,4,FALSE))," ",_xlfn.IFNA(VLOOKUP(A38&amp;" "&amp;B38,'LSP-M5'!$A$2:$D$100,4,FALSE)," "))</f>
        <v xml:space="preserve"> </v>
      </c>
      <c r="E38" t="str">
        <f>IF(ISBLANK(VLOOKUP(A38&amp;" "&amp;B38,'LSP-M6'!$A$2:$D$100,4,FALSE))," ",_xlfn.IFNA(VLOOKUP(A38&amp;" "&amp;B38,'LSP-M6'!$A$2:$D$100,4,FALSE)," "))</f>
        <v xml:space="preserve"> </v>
      </c>
      <c r="F38" t="str">
        <f>IF(ISBLANK(VLOOKUP(A38&amp;" "&amp;B38,'LSP-M7'!$A$2:$D$100,4,FALSE))," ",_xlfn.IFNA(VLOOKUP(A38&amp;" "&amp;B38,'LSP-M7'!$A$2:$D$100,4,FALSE)," "))</f>
        <v xml:space="preserve"> </v>
      </c>
      <c r="G38" t="str">
        <f>IF(ISBLANK(VLOOKUP(A38&amp;" "&amp;B38,'LSP-M8'!$A$2:$D$100,4,FALSE))," ",_xlfn.IFNA(VLOOKUP(A38&amp;" "&amp;B38,'LSP-M8'!$A$2:$D$100,4,FALSE)," "))</f>
        <v xml:space="preserve"> </v>
      </c>
    </row>
    <row r="39" spans="1:7" x14ac:dyDescent="0.35">
      <c r="A39" t="s">
        <v>18</v>
      </c>
      <c r="B39">
        <v>1</v>
      </c>
      <c r="C39">
        <f>IF(ISBLANK(VLOOKUP(A39&amp;" "&amp;B39,'LSP-M4'!$A$2:$D$100,4,FALSE))," ",_xlfn.IFNA(VLOOKUP(A39&amp;" "&amp;B39,'LSP-M4'!$A$2:$D$100,4,FALSE)," "))</f>
        <v>1.0149999999999999</v>
      </c>
      <c r="D39">
        <f>IF(ISBLANK(VLOOKUP(A39&amp;" "&amp;B39,'LSP-M5'!$A$2:$D$100,4,FALSE))," ",_xlfn.IFNA(VLOOKUP(A39&amp;" "&amp;B39,'LSP-M5'!$A$2:$D$100,4,FALSE)," "))</f>
        <v>1.0149999999999999</v>
      </c>
      <c r="E39">
        <f>IF(ISBLANK(VLOOKUP(A39&amp;" "&amp;B39,'LSP-M6'!$A$2:$D$100,4,FALSE))," ",_xlfn.IFNA(VLOOKUP(A39&amp;" "&amp;B39,'LSP-M6'!$A$2:$D$100,4,FALSE)," "))</f>
        <v>1.012</v>
      </c>
      <c r="F39">
        <f>IF(ISBLANK(VLOOKUP(A39&amp;" "&amp;B39,'LSP-M7'!$A$2:$D$100,4,FALSE))," ",_xlfn.IFNA(VLOOKUP(A39&amp;" "&amp;B39,'LSP-M7'!$A$2:$D$100,4,FALSE)," "))</f>
        <v>3.5819999999999999</v>
      </c>
      <c r="G39">
        <f>IF(ISBLANK(VLOOKUP(A39&amp;" "&amp;B39,'LSP-M8'!$A$2:$D$100,4,FALSE))," ",_xlfn.IFNA(VLOOKUP(A39&amp;" "&amp;B39,'LSP-M8'!$A$2:$D$100,4,FALSE)," "))</f>
        <v>18.158999999999999</v>
      </c>
    </row>
    <row r="40" spans="1:7" x14ac:dyDescent="0.35">
      <c r="A40" t="s">
        <v>18</v>
      </c>
      <c r="B40">
        <v>2</v>
      </c>
      <c r="C40">
        <f>IF(ISBLANK(VLOOKUP(A40&amp;" "&amp;B40,'LSP-M4'!$A$2:$D$100,4,FALSE))," ",_xlfn.IFNA(VLOOKUP(A40&amp;" "&amp;B40,'LSP-M4'!$A$2:$D$100,4,FALSE)," "))</f>
        <v>1.661</v>
      </c>
      <c r="D40">
        <f>IF(ISBLANK(VLOOKUP(A40&amp;" "&amp;B40,'LSP-M5'!$A$2:$D$100,4,FALSE))," ",_xlfn.IFNA(VLOOKUP(A40&amp;" "&amp;B40,'LSP-M5'!$A$2:$D$100,4,FALSE)," "))</f>
        <v>1.661</v>
      </c>
      <c r="E40">
        <f>IF(ISBLANK(VLOOKUP(A40&amp;" "&amp;B40,'LSP-M6'!$A$2:$D$100,4,FALSE))," ",_xlfn.IFNA(VLOOKUP(A40&amp;" "&amp;B40,'LSP-M6'!$A$2:$D$100,4,FALSE)," "))</f>
        <v>4.1399999999999997</v>
      </c>
      <c r="F40" t="str">
        <f>IF(ISBLANK(VLOOKUP(A40&amp;" "&amp;B40,'LSP-M7'!$A$2:$D$100,4,FALSE))," ",_xlfn.IFNA(VLOOKUP(A40&amp;" "&amp;B40,'LSP-M7'!$A$2:$D$100,4,FALSE)," "))</f>
        <v xml:space="preserve"> </v>
      </c>
      <c r="G40" t="str">
        <f>IF(ISBLANK(VLOOKUP(A40&amp;" "&amp;B40,'LSP-M8'!$A$2:$D$100,4,FALSE))," ",_xlfn.IFNA(VLOOKUP(A40&amp;" "&amp;B40,'LSP-M8'!$A$2:$D$100,4,FALSE)," "))</f>
        <v xml:space="preserve"> </v>
      </c>
    </row>
    <row r="41" spans="1:7" x14ac:dyDescent="0.35">
      <c r="A41" t="s">
        <v>18</v>
      </c>
      <c r="B41">
        <v>3</v>
      </c>
      <c r="C41">
        <f>IF(ISBLANK(VLOOKUP(A41&amp;" "&amp;B41,'LSP-M4'!$A$2:$D$100,4,FALSE))," ",_xlfn.IFNA(VLOOKUP(A41&amp;" "&amp;B41,'LSP-M4'!$A$2:$D$100,4,FALSE)," "))</f>
        <v>3.194</v>
      </c>
      <c r="D41">
        <f>IF(ISBLANK(VLOOKUP(A41&amp;" "&amp;B41,'LSP-M5'!$A$2:$D$100,4,FALSE))," ",_xlfn.IFNA(VLOOKUP(A41&amp;" "&amp;B41,'LSP-M5'!$A$2:$D$100,4,FALSE)," "))</f>
        <v>3.194</v>
      </c>
      <c r="E41" t="str">
        <f>IF(ISBLANK(VLOOKUP(A41&amp;" "&amp;B41,'LSP-M6'!$A$2:$D$100,4,FALSE))," ",_xlfn.IFNA(VLOOKUP(A41&amp;" "&amp;B41,'LSP-M6'!$A$2:$D$100,4,FALSE)," "))</f>
        <v xml:space="preserve"> </v>
      </c>
      <c r="F41" t="str">
        <f>IF(ISBLANK(VLOOKUP(A41&amp;" "&amp;B41,'LSP-M7'!$A$2:$D$100,4,FALSE))," ",_xlfn.IFNA(VLOOKUP(A41&amp;" "&amp;B41,'LSP-M7'!$A$2:$D$100,4,FALSE)," "))</f>
        <v xml:space="preserve"> </v>
      </c>
      <c r="G41" t="str">
        <f>IF(ISBLANK(VLOOKUP(A41&amp;" "&amp;B41,'LSP-M8'!$A$2:$D$100,4,FALSE))," ",_xlfn.IFNA(VLOOKUP(A41&amp;" "&amp;B41,'LSP-M8'!$A$2:$D$100,4,FALSE)," "))</f>
        <v xml:space="preserve"> </v>
      </c>
    </row>
    <row r="42" spans="1:7" x14ac:dyDescent="0.35">
      <c r="A42" t="s">
        <v>19</v>
      </c>
      <c r="B42">
        <v>1</v>
      </c>
      <c r="C42">
        <f>IF(ISBLANK(VLOOKUP(A42&amp;" "&amp;B42,'LSP-M4'!$A$2:$D$100,4,FALSE))," ",_xlfn.IFNA(VLOOKUP(A42&amp;" "&amp;B42,'LSP-M4'!$A$2:$D$100,4,FALSE)," "))</f>
        <v>1.8009999999999999</v>
      </c>
      <c r="D42">
        <f>IF(ISBLANK(VLOOKUP(A42&amp;" "&amp;B42,'LSP-M5'!$A$2:$D$100,4,FALSE))," ",_xlfn.IFNA(VLOOKUP(A42&amp;" "&amp;B42,'LSP-M5'!$A$2:$D$100,4,FALSE)," "))</f>
        <v>1.8009999999999999</v>
      </c>
      <c r="E42">
        <f>IF(ISBLANK(VLOOKUP(A42&amp;" "&amp;B42,'LSP-M6'!$A$2:$D$100,4,FALSE))," ",_xlfn.IFNA(VLOOKUP(A42&amp;" "&amp;B42,'LSP-M6'!$A$2:$D$100,4,FALSE)," "))</f>
        <v>9.6379999999999999</v>
      </c>
      <c r="F42" t="str">
        <f>IF(ISBLANK(VLOOKUP(A42&amp;" "&amp;B42,'LSP-M7'!$A$2:$D$100,4,FALSE))," ",_xlfn.IFNA(VLOOKUP(A42&amp;" "&amp;B42,'LSP-M7'!$A$2:$D$100,4,FALSE)," "))</f>
        <v xml:space="preserve"> </v>
      </c>
      <c r="G42" t="str">
        <f>IF(ISBLANK(VLOOKUP(A42&amp;" "&amp;B42,'LSP-M8'!$A$2:$D$100,4,FALSE))," ",_xlfn.IFNA(VLOOKUP(A42&amp;" "&amp;B42,'LSP-M8'!$A$2:$D$100,4,FALSE)," "))</f>
        <v xml:space="preserve"> </v>
      </c>
    </row>
    <row r="43" spans="1:7" x14ac:dyDescent="0.35">
      <c r="A43" t="s">
        <v>19</v>
      </c>
      <c r="B43">
        <v>2</v>
      </c>
      <c r="C43">
        <f>IF(ISBLANK(VLOOKUP(A43&amp;" "&amp;B43,'LSP-M4'!$A$2:$D$100,4,FALSE))," ",_xlfn.IFNA(VLOOKUP(A43&amp;" "&amp;B43,'LSP-M4'!$A$2:$D$100,4,FALSE)," "))</f>
        <v>2.8570000000000002</v>
      </c>
      <c r="D43">
        <f>IF(ISBLANK(VLOOKUP(A43&amp;" "&amp;B43,'LSP-M5'!$A$2:$D$100,4,FALSE))," ",_xlfn.IFNA(VLOOKUP(A43&amp;" "&amp;B43,'LSP-M5'!$A$2:$D$100,4,FALSE)," "))</f>
        <v>2.8570000000000002</v>
      </c>
      <c r="E43">
        <f>IF(ISBLANK(VLOOKUP(A43&amp;" "&amp;B43,'LSP-M6'!$A$2:$D$100,4,FALSE))," ",_xlfn.IFNA(VLOOKUP(A43&amp;" "&amp;B43,'LSP-M6'!$A$2:$D$100,4,FALSE)," "))</f>
        <v>3.6539999999999999</v>
      </c>
      <c r="F43" t="str">
        <f>IF(ISBLANK(VLOOKUP(A43&amp;" "&amp;B43,'LSP-M7'!$A$2:$D$100,4,FALSE))," ",_xlfn.IFNA(VLOOKUP(A43&amp;" "&amp;B43,'LSP-M7'!$A$2:$D$100,4,FALSE)," "))</f>
        <v xml:space="preserve"> </v>
      </c>
      <c r="G43" t="str">
        <f>IF(ISBLANK(VLOOKUP(A43&amp;" "&amp;B43,'LSP-M8'!$A$2:$D$100,4,FALSE))," ",_xlfn.IFNA(VLOOKUP(A43&amp;" "&amp;B43,'LSP-M8'!$A$2:$D$100,4,FALSE)," "))</f>
        <v xml:space="preserve"> </v>
      </c>
    </row>
    <row r="44" spans="1:7" x14ac:dyDescent="0.35">
      <c r="A44" t="s">
        <v>19</v>
      </c>
      <c r="B44">
        <v>3</v>
      </c>
      <c r="C44">
        <f>IF(ISBLANK(VLOOKUP(A44&amp;" "&amp;B44,'LSP-M4'!$A$2:$D$100,4,FALSE))," ",_xlfn.IFNA(VLOOKUP(A44&amp;" "&amp;B44,'LSP-M4'!$A$2:$D$100,4,FALSE)," "))</f>
        <v>3.0859999999999999</v>
      </c>
      <c r="D44">
        <f>IF(ISBLANK(VLOOKUP(A44&amp;" "&amp;B44,'LSP-M5'!$A$2:$D$100,4,FALSE))," ",_xlfn.IFNA(VLOOKUP(A44&amp;" "&amp;B44,'LSP-M5'!$A$2:$D$100,4,FALSE)," "))</f>
        <v>2.766</v>
      </c>
      <c r="E44">
        <f>IF(ISBLANK(VLOOKUP(A44&amp;" "&amp;B44,'LSP-M6'!$A$2:$D$100,4,FALSE))," ",_xlfn.IFNA(VLOOKUP(A44&amp;" "&amp;B44,'LSP-M6'!$A$2:$D$100,4,FALSE)," "))</f>
        <v>10.242000000000001</v>
      </c>
      <c r="F44" t="str">
        <f>IF(ISBLANK(VLOOKUP(A44&amp;" "&amp;B44,'LSP-M7'!$A$2:$D$100,4,FALSE))," ",_xlfn.IFNA(VLOOKUP(A44&amp;" "&amp;B44,'LSP-M7'!$A$2:$D$100,4,FALSE)," "))</f>
        <v xml:space="preserve"> </v>
      </c>
      <c r="G44" t="str">
        <f>IF(ISBLANK(VLOOKUP(A44&amp;" "&amp;B44,'LSP-M8'!$A$2:$D$100,4,FALSE))," ",_xlfn.IFNA(VLOOKUP(A44&amp;" "&amp;B44,'LSP-M8'!$A$2:$D$100,4,FALSE)," "))</f>
        <v xml:space="preserve"> </v>
      </c>
    </row>
    <row r="45" spans="1:7" x14ac:dyDescent="0.35">
      <c r="A45" t="s">
        <v>20</v>
      </c>
      <c r="B45">
        <v>1</v>
      </c>
      <c r="C45">
        <f>IF(ISBLANK(VLOOKUP(A45&amp;" "&amp;B45,'LSP-M4'!$A$2:$D$100,4,FALSE))," ",_xlfn.IFNA(VLOOKUP(A45&amp;" "&amp;B45,'LSP-M4'!$A$2:$D$100,4,FALSE)," "))</f>
        <v>1.694</v>
      </c>
      <c r="D45">
        <f>IF(ISBLANK(VLOOKUP(A45&amp;" "&amp;B45,'LSP-M5'!$A$2:$D$100,4,FALSE))," ",_xlfn.IFNA(VLOOKUP(A45&amp;" "&amp;B45,'LSP-M5'!$A$2:$D$100,4,FALSE)," "))</f>
        <v>1.694</v>
      </c>
      <c r="E45">
        <f>IF(ISBLANK(VLOOKUP(A45&amp;" "&amp;B45,'LSP-M6'!$A$2:$D$100,4,FALSE))," ",_xlfn.IFNA(VLOOKUP(A45&amp;" "&amp;B45,'LSP-M6'!$A$2:$D$100,4,FALSE)," "))</f>
        <v>1.694</v>
      </c>
      <c r="F45">
        <f>IF(ISBLANK(VLOOKUP(A45&amp;" "&amp;B45,'LSP-M7'!$A$2:$D$100,4,FALSE))," ",_xlfn.IFNA(VLOOKUP(A45&amp;" "&amp;B45,'LSP-M7'!$A$2:$D$100,4,FALSE)," "))</f>
        <v>3.68</v>
      </c>
      <c r="G45" t="str">
        <f>IF(ISBLANK(VLOOKUP(A45&amp;" "&amp;B45,'LSP-M8'!$A$2:$D$100,4,FALSE))," ",_xlfn.IFNA(VLOOKUP(A45&amp;" "&amp;B45,'LSP-M8'!$A$2:$D$100,4,FALSE)," "))</f>
        <v xml:space="preserve"> </v>
      </c>
    </row>
    <row r="46" spans="1:7" x14ac:dyDescent="0.35">
      <c r="A46" t="s">
        <v>20</v>
      </c>
      <c r="B46">
        <v>2</v>
      </c>
      <c r="C46">
        <f>IF(ISBLANK(VLOOKUP(A46&amp;" "&amp;B46,'LSP-M4'!$A$2:$D$100,4,FALSE))," ",_xlfn.IFNA(VLOOKUP(A46&amp;" "&amp;B46,'LSP-M4'!$A$2:$D$100,4,FALSE)," "))</f>
        <v>3.3250000000000002</v>
      </c>
      <c r="D46" t="str">
        <f>IF(ISBLANK(VLOOKUP(A46&amp;" "&amp;B46,'LSP-M5'!$A$2:$D$100,4,FALSE))," ",_xlfn.IFNA(VLOOKUP(A46&amp;" "&amp;B46,'LSP-M5'!$A$2:$D$100,4,FALSE)," "))</f>
        <v xml:space="preserve"> </v>
      </c>
      <c r="E46" t="str">
        <f>IF(ISBLANK(VLOOKUP(A46&amp;" "&amp;B46,'LSP-M6'!$A$2:$D$100,4,FALSE))," ",_xlfn.IFNA(VLOOKUP(A46&amp;" "&amp;B46,'LSP-M6'!$A$2:$D$100,4,FALSE)," "))</f>
        <v xml:space="preserve"> </v>
      </c>
      <c r="F46" t="str">
        <f>IF(ISBLANK(VLOOKUP(A46&amp;" "&amp;B46,'LSP-M7'!$A$2:$D$100,4,FALSE))," ",_xlfn.IFNA(VLOOKUP(A46&amp;" "&amp;B46,'LSP-M7'!$A$2:$D$100,4,FALSE)," "))</f>
        <v xml:space="preserve"> </v>
      </c>
      <c r="G46" t="str">
        <f>IF(ISBLANK(VLOOKUP(A46&amp;" "&amp;B46,'LSP-M8'!$A$2:$D$100,4,FALSE))," ",_xlfn.IFNA(VLOOKUP(A46&amp;" "&amp;B46,'LSP-M8'!$A$2:$D$100,4,FALSE)," "))</f>
        <v xml:space="preserve"> </v>
      </c>
    </row>
    <row r="47" spans="1:7" x14ac:dyDescent="0.35">
      <c r="A47" t="s">
        <v>20</v>
      </c>
      <c r="B47">
        <v>3</v>
      </c>
      <c r="C47">
        <f>IF(ISBLANK(VLOOKUP(A47&amp;" "&amp;B47,'LSP-M4'!$A$2:$D$100,4,FALSE))," ",_xlfn.IFNA(VLOOKUP(A47&amp;" "&amp;B47,'LSP-M4'!$A$2:$D$100,4,FALSE)," "))</f>
        <v>11.734</v>
      </c>
      <c r="D47" t="str">
        <f>IF(ISBLANK(VLOOKUP(A47&amp;" "&amp;B47,'LSP-M5'!$A$2:$D$100,4,FALSE))," ",_xlfn.IFNA(VLOOKUP(A47&amp;" "&amp;B47,'LSP-M5'!$A$2:$D$100,4,FALSE)," "))</f>
        <v xml:space="preserve"> </v>
      </c>
      <c r="E47" t="str">
        <f>IF(ISBLANK(VLOOKUP(A47&amp;" "&amp;B47,'LSP-M6'!$A$2:$D$100,4,FALSE))," ",_xlfn.IFNA(VLOOKUP(A47&amp;" "&amp;B47,'LSP-M6'!$A$2:$D$100,4,FALSE)," "))</f>
        <v xml:space="preserve"> </v>
      </c>
      <c r="F47" t="str">
        <f>IF(ISBLANK(VLOOKUP(A47&amp;" "&amp;B47,'LSP-M7'!$A$2:$D$100,4,FALSE))," ",_xlfn.IFNA(VLOOKUP(A47&amp;" "&amp;B47,'LSP-M7'!$A$2:$D$100,4,FALSE)," "))</f>
        <v xml:space="preserve"> </v>
      </c>
      <c r="G47" t="str">
        <f>IF(ISBLANK(VLOOKUP(A47&amp;" "&amp;B47,'LSP-M8'!$A$2:$D$100,4,FALSE))," ",_xlfn.IFNA(VLOOKUP(A47&amp;" "&amp;B47,'LSP-M8'!$A$2:$D$100,4,FALSE)," "))</f>
        <v xml:space="preserve"> </v>
      </c>
    </row>
    <row r="48" spans="1:7" x14ac:dyDescent="0.35">
      <c r="A48" t="s">
        <v>21</v>
      </c>
      <c r="B48">
        <v>1</v>
      </c>
      <c r="C48">
        <f>IF(ISBLANK(VLOOKUP(A48&amp;" "&amp;B48,'LSP-M4'!$A$2:$D$100,4,FALSE))," ",_xlfn.IFNA(VLOOKUP(A48&amp;" "&amp;B48,'LSP-M4'!$A$2:$D$100,4,FALSE)," "))</f>
        <v>1.754</v>
      </c>
      <c r="D48">
        <f>IF(ISBLANK(VLOOKUP(A48&amp;" "&amp;B48,'LSP-M5'!$A$2:$D$100,4,FALSE))," ",_xlfn.IFNA(VLOOKUP(A48&amp;" "&amp;B48,'LSP-M5'!$A$2:$D$100,4,FALSE)," "))</f>
        <v>1.754</v>
      </c>
      <c r="E48">
        <f>IF(ISBLANK(VLOOKUP(A48&amp;" "&amp;B48,'LSP-M6'!$A$2:$D$100,4,FALSE))," ",_xlfn.IFNA(VLOOKUP(A48&amp;" "&amp;B48,'LSP-M6'!$A$2:$D$100,4,FALSE)," "))</f>
        <v>3.1059999999999999</v>
      </c>
      <c r="F48" t="str">
        <f>IF(ISBLANK(VLOOKUP(A48&amp;" "&amp;B48,'LSP-M7'!$A$2:$D$100,4,FALSE))," ",_xlfn.IFNA(VLOOKUP(A48&amp;" "&amp;B48,'LSP-M7'!$A$2:$D$100,4,FALSE)," "))</f>
        <v xml:space="preserve"> </v>
      </c>
      <c r="G48" t="str">
        <f>IF(ISBLANK(VLOOKUP(A48&amp;" "&amp;B48,'LSP-M8'!$A$2:$D$100,4,FALSE))," ",_xlfn.IFNA(VLOOKUP(A48&amp;" "&amp;B48,'LSP-M8'!$A$2:$D$100,4,FALSE)," "))</f>
        <v xml:space="preserve"> </v>
      </c>
    </row>
    <row r="49" spans="1:7" x14ac:dyDescent="0.35">
      <c r="A49" t="s">
        <v>21</v>
      </c>
      <c r="B49">
        <v>2</v>
      </c>
      <c r="C49">
        <f>IF(ISBLANK(VLOOKUP(A49&amp;" "&amp;B49,'LSP-M4'!$A$2:$D$100,4,FALSE))," ",_xlfn.IFNA(VLOOKUP(A49&amp;" "&amp;B49,'LSP-M4'!$A$2:$D$100,4,FALSE)," "))</f>
        <v>3.5630000000000002</v>
      </c>
      <c r="D49">
        <f>IF(ISBLANK(VLOOKUP(A49&amp;" "&amp;B49,'LSP-M5'!$A$2:$D$100,4,FALSE))," ",_xlfn.IFNA(VLOOKUP(A49&amp;" "&amp;B49,'LSP-M5'!$A$2:$D$100,4,FALSE)," "))</f>
        <v>4.9889999999999999</v>
      </c>
      <c r="E49" t="str">
        <f>IF(ISBLANK(VLOOKUP(A49&amp;" "&amp;B49,'LSP-M6'!$A$2:$D$100,4,FALSE))," ",_xlfn.IFNA(VLOOKUP(A49&amp;" "&amp;B49,'LSP-M6'!$A$2:$D$100,4,FALSE)," "))</f>
        <v xml:space="preserve"> </v>
      </c>
      <c r="F49" t="str">
        <f>IF(ISBLANK(VLOOKUP(A49&amp;" "&amp;B49,'LSP-M7'!$A$2:$D$100,4,FALSE))," ",_xlfn.IFNA(VLOOKUP(A49&amp;" "&amp;B49,'LSP-M7'!$A$2:$D$100,4,FALSE)," "))</f>
        <v xml:space="preserve"> </v>
      </c>
      <c r="G49" t="str">
        <f>IF(ISBLANK(VLOOKUP(A49&amp;" "&amp;B49,'LSP-M8'!$A$2:$D$100,4,FALSE))," ",_xlfn.IFNA(VLOOKUP(A49&amp;" "&amp;B49,'LSP-M8'!$A$2:$D$100,4,FALSE)," "))</f>
        <v xml:space="preserve"> </v>
      </c>
    </row>
    <row r="50" spans="1:7" x14ac:dyDescent="0.35">
      <c r="A50" t="s">
        <v>21</v>
      </c>
      <c r="B50">
        <v>3</v>
      </c>
      <c r="C50">
        <f>IF(ISBLANK(VLOOKUP(A50&amp;" "&amp;B50,'LSP-M4'!$A$2:$D$100,4,FALSE))," ",_xlfn.IFNA(VLOOKUP(A50&amp;" "&amp;B50,'LSP-M4'!$A$2:$D$100,4,FALSE)," "))</f>
        <v>4.5529999999999999</v>
      </c>
      <c r="D50" t="str">
        <f>IF(ISBLANK(VLOOKUP(A50&amp;" "&amp;B50,'LSP-M5'!$A$2:$D$100,4,FALSE))," ",_xlfn.IFNA(VLOOKUP(A50&amp;" "&amp;B50,'LSP-M5'!$A$2:$D$100,4,FALSE)," "))</f>
        <v xml:space="preserve"> </v>
      </c>
      <c r="E50" t="str">
        <f>IF(ISBLANK(VLOOKUP(A50&amp;" "&amp;B50,'LSP-M6'!$A$2:$D$100,4,FALSE))," ",_xlfn.IFNA(VLOOKUP(A50&amp;" "&amp;B50,'LSP-M6'!$A$2:$D$100,4,FALSE)," "))</f>
        <v xml:space="preserve"> </v>
      </c>
      <c r="F50" t="str">
        <f>IF(ISBLANK(VLOOKUP(A50&amp;" "&amp;B50,'LSP-M7'!$A$2:$D$100,4,FALSE))," ",_xlfn.IFNA(VLOOKUP(A50&amp;" "&amp;B50,'LSP-M7'!$A$2:$D$100,4,FALSE)," "))</f>
        <v xml:space="preserve"> </v>
      </c>
      <c r="G50" t="str">
        <f>IF(ISBLANK(VLOOKUP(A50&amp;" "&amp;B50,'LSP-M8'!$A$2:$D$100,4,FALSE))," ",_xlfn.IFNA(VLOOKUP(A50&amp;" "&amp;B50,'LSP-M8'!$A$2:$D$100,4,FALSE)," "))</f>
        <v xml:space="preserve"> </v>
      </c>
    </row>
    <row r="51" spans="1:7" x14ac:dyDescent="0.35">
      <c r="A51" t="s">
        <v>22</v>
      </c>
      <c r="B51">
        <v>1</v>
      </c>
      <c r="C51">
        <f>IF(ISBLANK(VLOOKUP(A51&amp;" "&amp;B51,'LSP-M4'!$A$2:$D$100,4,FALSE))," ",_xlfn.IFNA(VLOOKUP(A51&amp;" "&amp;B51,'LSP-M4'!$A$2:$D$100,4,FALSE)," "))</f>
        <v>0.90200000000000002</v>
      </c>
      <c r="D51">
        <f>IF(ISBLANK(VLOOKUP(A51&amp;" "&amp;B51,'LSP-M5'!$A$2:$D$100,4,FALSE))," ",_xlfn.IFNA(VLOOKUP(A51&amp;" "&amp;B51,'LSP-M5'!$A$2:$D$100,4,FALSE)," "))</f>
        <v>0.90200000000000002</v>
      </c>
      <c r="E51">
        <f>IF(ISBLANK(VLOOKUP(A51&amp;" "&amp;B51,'LSP-M6'!$A$2:$D$100,4,FALSE))," ",_xlfn.IFNA(VLOOKUP(A51&amp;" "&amp;B51,'LSP-M6'!$A$2:$D$100,4,FALSE)," "))</f>
        <v>0.90200000000000002</v>
      </c>
      <c r="F51">
        <f>IF(ISBLANK(VLOOKUP(A51&amp;" "&amp;B51,'LSP-M7'!$A$2:$D$100,4,FALSE))," ",_xlfn.IFNA(VLOOKUP(A51&amp;" "&amp;B51,'LSP-M7'!$A$2:$D$100,4,FALSE)," "))</f>
        <v>1.4550000000000001</v>
      </c>
      <c r="G51">
        <f>IF(ISBLANK(VLOOKUP(A51&amp;" "&amp;B51,'LSP-M8'!$A$2:$D$100,4,FALSE))," ",_xlfn.IFNA(VLOOKUP(A51&amp;" "&amp;B51,'LSP-M8'!$A$2:$D$100,4,FALSE)," "))</f>
        <v>11.978</v>
      </c>
    </row>
    <row r="52" spans="1:7" x14ac:dyDescent="0.35">
      <c r="A52" t="s">
        <v>22</v>
      </c>
      <c r="B52">
        <v>2</v>
      </c>
      <c r="C52">
        <f>IF(ISBLANK(VLOOKUP(A52&amp;" "&amp;B52,'LSP-M4'!$A$2:$D$100,4,FALSE))," ",_xlfn.IFNA(VLOOKUP(A52&amp;" "&amp;B52,'LSP-M4'!$A$2:$D$100,4,FALSE)," "))</f>
        <v>3.6760000000000002</v>
      </c>
      <c r="D52">
        <f>IF(ISBLANK(VLOOKUP(A52&amp;" "&amp;B52,'LSP-M5'!$A$2:$D$100,4,FALSE))," ",_xlfn.IFNA(VLOOKUP(A52&amp;" "&amp;B52,'LSP-M5'!$A$2:$D$100,4,FALSE)," "))</f>
        <v>4.665</v>
      </c>
      <c r="E52" t="str">
        <f>IF(ISBLANK(VLOOKUP(A52&amp;" "&amp;B52,'LSP-M6'!$A$2:$D$100,4,FALSE))," ",_xlfn.IFNA(VLOOKUP(A52&amp;" "&amp;B52,'LSP-M6'!$A$2:$D$100,4,FALSE)," "))</f>
        <v xml:space="preserve"> </v>
      </c>
      <c r="F52" t="str">
        <f>IF(ISBLANK(VLOOKUP(A52&amp;" "&amp;B52,'LSP-M7'!$A$2:$D$100,4,FALSE))," ",_xlfn.IFNA(VLOOKUP(A52&amp;" "&amp;B52,'LSP-M7'!$A$2:$D$100,4,FALSE)," "))</f>
        <v xml:space="preserve"> </v>
      </c>
      <c r="G52" t="str">
        <f>IF(ISBLANK(VLOOKUP(A52&amp;" "&amp;B52,'LSP-M8'!$A$2:$D$100,4,FALSE))," ",_xlfn.IFNA(VLOOKUP(A52&amp;" "&amp;B52,'LSP-M8'!$A$2:$D$100,4,FALSE)," "))</f>
        <v xml:space="preserve"> </v>
      </c>
    </row>
    <row r="53" spans="1:7" x14ac:dyDescent="0.35">
      <c r="A53" t="s">
        <v>22</v>
      </c>
      <c r="B53">
        <v>3</v>
      </c>
      <c r="C53">
        <f>IF(ISBLANK(VLOOKUP(A53&amp;" "&amp;B53,'LSP-M4'!$A$2:$D$100,4,FALSE))," ",_xlfn.IFNA(VLOOKUP(A53&amp;" "&amp;B53,'LSP-M4'!$A$2:$D$100,4,FALSE)," "))</f>
        <v>1.75</v>
      </c>
      <c r="D53">
        <f>IF(ISBLANK(VLOOKUP(A53&amp;" "&amp;B53,'LSP-M5'!$A$2:$D$100,4,FALSE))," ",_xlfn.IFNA(VLOOKUP(A53&amp;" "&amp;B53,'LSP-M5'!$A$2:$D$100,4,FALSE)," "))</f>
        <v>1.875</v>
      </c>
      <c r="E53">
        <f>IF(ISBLANK(VLOOKUP(A53&amp;" "&amp;B53,'LSP-M6'!$A$2:$D$100,4,FALSE))," ",_xlfn.IFNA(VLOOKUP(A53&amp;" "&amp;B53,'LSP-M6'!$A$2:$D$100,4,FALSE)," "))</f>
        <v>14.221</v>
      </c>
      <c r="F53" t="str">
        <f>IF(ISBLANK(VLOOKUP(A53&amp;" "&amp;B53,'LSP-M7'!$A$2:$D$100,4,FALSE))," ",_xlfn.IFNA(VLOOKUP(A53&amp;" "&amp;B53,'LSP-M7'!$A$2:$D$100,4,FALSE)," "))</f>
        <v xml:space="preserve"> </v>
      </c>
      <c r="G53" t="str">
        <f>IF(ISBLANK(VLOOKUP(A53&amp;" "&amp;B53,'LSP-M8'!$A$2:$D$100,4,FALSE))," ",_xlfn.IFNA(VLOOKUP(A53&amp;" "&amp;B53,'LSP-M8'!$A$2:$D$100,4,FALSE)," "))</f>
        <v xml:space="preserve"> </v>
      </c>
    </row>
    <row r="54" spans="1:7" x14ac:dyDescent="0.35">
      <c r="A54" t="s">
        <v>23</v>
      </c>
      <c r="B54">
        <v>1</v>
      </c>
      <c r="C54">
        <f>IF(ISBLANK(VLOOKUP(A54&amp;" "&amp;B54,'LSP-M4'!$A$2:$D$100,4,FALSE))," ",_xlfn.IFNA(VLOOKUP(A54&amp;" "&amp;B54,'LSP-M4'!$A$2:$D$100,4,FALSE)," "))</f>
        <v>1.4950000000000001</v>
      </c>
      <c r="D54">
        <f>IF(ISBLANK(VLOOKUP(A54&amp;" "&amp;B54,'LSP-M5'!$A$2:$D$100,4,FALSE))," ",_xlfn.IFNA(VLOOKUP(A54&amp;" "&amp;B54,'LSP-M5'!$A$2:$D$100,4,FALSE)," "))</f>
        <v>1.4950000000000001</v>
      </c>
      <c r="E54">
        <f>IF(ISBLANK(VLOOKUP(A54&amp;" "&amp;B54,'LSP-M6'!$A$2:$D$100,4,FALSE))," ",_xlfn.IFNA(VLOOKUP(A54&amp;" "&amp;B54,'LSP-M6'!$A$2:$D$100,4,FALSE)," "))</f>
        <v>1.976</v>
      </c>
      <c r="F54" t="str">
        <f>IF(ISBLANK(VLOOKUP(A54&amp;" "&amp;B54,'LSP-M7'!$A$2:$D$100,4,FALSE))," ",_xlfn.IFNA(VLOOKUP(A54&amp;" "&amp;B54,'LSP-M7'!$A$2:$D$100,4,FALSE)," "))</f>
        <v xml:space="preserve"> </v>
      </c>
      <c r="G54" t="str">
        <f>IF(ISBLANK(VLOOKUP(A54&amp;" "&amp;B54,'LSP-M8'!$A$2:$D$100,4,FALSE))," ",_xlfn.IFNA(VLOOKUP(A54&amp;" "&amp;B54,'LSP-M8'!$A$2:$D$100,4,FALSE)," "))</f>
        <v xml:space="preserve"> </v>
      </c>
    </row>
    <row r="55" spans="1:7" x14ac:dyDescent="0.35">
      <c r="A55" t="s">
        <v>24</v>
      </c>
      <c r="B55">
        <v>1</v>
      </c>
      <c r="C55">
        <f>IF(ISBLANK(VLOOKUP(A55&amp;" "&amp;B55,'LSP-M4'!$A$2:$D$100,4,FALSE))," ",_xlfn.IFNA(VLOOKUP(A55&amp;" "&amp;B55,'LSP-M4'!$A$2:$D$100,4,FALSE)," "))</f>
        <v>2.4089999999999998</v>
      </c>
      <c r="D55">
        <f>IF(ISBLANK(VLOOKUP(A55&amp;" "&amp;B55,'LSP-M5'!$A$2:$D$100,4,FALSE))," ",_xlfn.IFNA(VLOOKUP(A55&amp;" "&amp;B55,'LSP-M5'!$A$2:$D$100,4,FALSE)," "))</f>
        <v>2.4089999999999998</v>
      </c>
      <c r="E55">
        <f>IF(ISBLANK(VLOOKUP(A55&amp;" "&amp;B55,'LSP-M6'!$A$2:$D$100,4,FALSE))," ",_xlfn.IFNA(VLOOKUP(A55&amp;" "&amp;B55,'LSP-M6'!$A$2:$D$100,4,FALSE)," "))</f>
        <v>3.4340000000000002</v>
      </c>
      <c r="F55" t="str">
        <f>IF(ISBLANK(VLOOKUP(A55&amp;" "&amp;B55,'LSP-M7'!$A$2:$D$100,4,FALSE))," ",_xlfn.IFNA(VLOOKUP(A55&amp;" "&amp;B55,'LSP-M7'!$A$2:$D$100,4,FALSE)," "))</f>
        <v xml:space="preserve"> </v>
      </c>
      <c r="G55" t="str">
        <f>IF(ISBLANK(VLOOKUP(A55&amp;" "&amp;B55,'LSP-M8'!$A$2:$D$100,4,FALSE))," ",_xlfn.IFNA(VLOOKUP(A55&amp;" "&amp;B55,'LSP-M8'!$A$2:$D$100,4,FALSE)," "))</f>
        <v xml:space="preserve"> </v>
      </c>
    </row>
    <row r="56" spans="1:7" x14ac:dyDescent="0.35">
      <c r="A56" t="s">
        <v>24</v>
      </c>
      <c r="B56">
        <v>2</v>
      </c>
      <c r="C56">
        <f>IF(ISBLANK(VLOOKUP(A56&amp;" "&amp;B56,'LSP-M4'!$A$2:$D$100,4,FALSE))," ",_xlfn.IFNA(VLOOKUP(A56&amp;" "&amp;B56,'LSP-M4'!$A$2:$D$100,4,FALSE)," "))</f>
        <v>1.907</v>
      </c>
      <c r="D56">
        <f>IF(ISBLANK(VLOOKUP(A56&amp;" "&amp;B56,'LSP-M5'!$A$2:$D$100,4,FALSE))," ",_xlfn.IFNA(VLOOKUP(A56&amp;" "&amp;B56,'LSP-M5'!$A$2:$D$100,4,FALSE)," "))</f>
        <v>2.2949999999999999</v>
      </c>
      <c r="E56" t="str">
        <f>IF(ISBLANK(VLOOKUP(A56&amp;" "&amp;B56,'LSP-M6'!$A$2:$D$100,4,FALSE))," ",_xlfn.IFNA(VLOOKUP(A56&amp;" "&amp;B56,'LSP-M6'!$A$2:$D$100,4,FALSE)," "))</f>
        <v xml:space="preserve"> </v>
      </c>
      <c r="F56" t="str">
        <f>IF(ISBLANK(VLOOKUP(A56&amp;" "&amp;B56,'LSP-M7'!$A$2:$D$100,4,FALSE))," ",_xlfn.IFNA(VLOOKUP(A56&amp;" "&amp;B56,'LSP-M7'!$A$2:$D$100,4,FALSE)," "))</f>
        <v xml:space="preserve"> </v>
      </c>
      <c r="G56" t="str">
        <f>IF(ISBLANK(VLOOKUP(A56&amp;" "&amp;B56,'LSP-M8'!$A$2:$D$100,4,FALSE))," ",_xlfn.IFNA(VLOOKUP(A56&amp;" "&amp;B56,'LSP-M8'!$A$2:$D$100,4,FALSE)," "))</f>
        <v xml:space="preserve"> </v>
      </c>
    </row>
    <row r="57" spans="1:7" x14ac:dyDescent="0.35">
      <c r="A57" t="s">
        <v>24</v>
      </c>
      <c r="B57">
        <v>3</v>
      </c>
      <c r="C57">
        <f>IF(ISBLANK(VLOOKUP(A57&amp;" "&amp;B57,'LSP-M4'!$A$2:$D$100,4,FALSE))," ",_xlfn.IFNA(VLOOKUP(A57&amp;" "&amp;B57,'LSP-M4'!$A$2:$D$100,4,FALSE)," "))</f>
        <v>2.9849999999999999</v>
      </c>
      <c r="D57">
        <f>IF(ISBLANK(VLOOKUP(A57&amp;" "&amp;B57,'LSP-M5'!$A$2:$D$100,4,FALSE))," ",_xlfn.IFNA(VLOOKUP(A57&amp;" "&amp;B57,'LSP-M5'!$A$2:$D$100,4,FALSE)," "))</f>
        <v>2.3410000000000002</v>
      </c>
      <c r="E57">
        <f>IF(ISBLANK(VLOOKUP(A57&amp;" "&amp;B57,'LSP-M6'!$A$2:$D$100,4,FALSE))," ",_xlfn.IFNA(VLOOKUP(A57&amp;" "&amp;B57,'LSP-M6'!$A$2:$D$100,4,FALSE)," "))</f>
        <v>4.5129999999999999</v>
      </c>
      <c r="F57" t="str">
        <f>IF(ISBLANK(VLOOKUP(A57&amp;" "&amp;B57,'LSP-M7'!$A$2:$D$100,4,FALSE))," ",_xlfn.IFNA(VLOOKUP(A57&amp;" "&amp;B57,'LSP-M7'!$A$2:$D$100,4,FALSE)," "))</f>
        <v xml:space="preserve"> </v>
      </c>
      <c r="G57" t="str">
        <f>IF(ISBLANK(VLOOKUP(A57&amp;" "&amp;B57,'LSP-M8'!$A$2:$D$100,4,FALSE))," ",_xlfn.IFNA(VLOOKUP(A57&amp;" "&amp;B57,'LSP-M8'!$A$2:$D$100,4,FALSE)," "))</f>
        <v xml:space="preserve"> </v>
      </c>
    </row>
    <row r="58" spans="1:7" x14ac:dyDescent="0.35">
      <c r="A58" t="s">
        <v>25</v>
      </c>
      <c r="B58">
        <v>1</v>
      </c>
      <c r="C58">
        <f>IF(ISBLANK(VLOOKUP(A58&amp;" "&amp;B58,'LSP-M4'!$A$2:$D$100,4,FALSE))," ",_xlfn.IFNA(VLOOKUP(A58&amp;" "&amp;B58,'LSP-M4'!$A$2:$D$100,4,FALSE)," "))</f>
        <v>1.3380000000000001</v>
      </c>
      <c r="D58">
        <f>IF(ISBLANK(VLOOKUP(A58&amp;" "&amp;B58,'LSP-M5'!$A$2:$D$100,4,FALSE))," ",_xlfn.IFNA(VLOOKUP(A58&amp;" "&amp;B58,'LSP-M5'!$A$2:$D$100,4,FALSE)," "))</f>
        <v>1.3380000000000001</v>
      </c>
      <c r="E58">
        <f>IF(ISBLANK(VLOOKUP(A58&amp;" "&amp;B58,'LSP-M6'!$A$2:$D$100,4,FALSE))," ",_xlfn.IFNA(VLOOKUP(A58&amp;" "&amp;B58,'LSP-M6'!$A$2:$D$100,4,FALSE)," "))</f>
        <v>1.3380000000000001</v>
      </c>
      <c r="F58">
        <f>IF(ISBLANK(VLOOKUP(A58&amp;" "&amp;B58,'LSP-M7'!$A$2:$D$100,4,FALSE))," ",_xlfn.IFNA(VLOOKUP(A58&amp;" "&amp;B58,'LSP-M7'!$A$2:$D$100,4,FALSE)," "))</f>
        <v>3.7610000000000001</v>
      </c>
      <c r="G58" t="str">
        <f>IF(ISBLANK(VLOOKUP(A58&amp;" "&amp;B58,'LSP-M8'!$A$2:$D$100,4,FALSE))," ",_xlfn.IFNA(VLOOKUP(A58&amp;" "&amp;B58,'LSP-M8'!$A$2:$D$100,4,FALSE)," "))</f>
        <v xml:space="preserve"> </v>
      </c>
    </row>
    <row r="59" spans="1:7" x14ac:dyDescent="0.35">
      <c r="A59" t="s">
        <v>25</v>
      </c>
      <c r="B59">
        <v>2</v>
      </c>
      <c r="C59">
        <f>IF(ISBLANK(VLOOKUP(A59&amp;" "&amp;B59,'LSP-M4'!$A$2:$D$100,4,FALSE))," ",_xlfn.IFNA(VLOOKUP(A59&amp;" "&amp;B59,'LSP-M4'!$A$2:$D$100,4,FALSE)," "))</f>
        <v>2.4910000000000001</v>
      </c>
      <c r="D59">
        <f>IF(ISBLANK(VLOOKUP(A59&amp;" "&amp;B59,'LSP-M5'!$A$2:$D$100,4,FALSE))," ",_xlfn.IFNA(VLOOKUP(A59&amp;" "&amp;B59,'LSP-M5'!$A$2:$D$100,4,FALSE)," "))</f>
        <v>2.4460000000000002</v>
      </c>
      <c r="E59">
        <f>IF(ISBLANK(VLOOKUP(A59&amp;" "&amp;B59,'LSP-M6'!$A$2:$D$100,4,FALSE))," ",_xlfn.IFNA(VLOOKUP(A59&amp;" "&amp;B59,'LSP-M6'!$A$2:$D$100,4,FALSE)," "))</f>
        <v>6.2549999999999999</v>
      </c>
      <c r="F59">
        <f>IF(ISBLANK(VLOOKUP(A59&amp;" "&amp;B59,'LSP-M7'!$A$2:$D$100,4,FALSE))," ",_xlfn.IFNA(VLOOKUP(A59&amp;" "&amp;B59,'LSP-M7'!$A$2:$D$100,4,FALSE)," "))</f>
        <v>16.012</v>
      </c>
      <c r="G59" t="str">
        <f>IF(ISBLANK(VLOOKUP(A59&amp;" "&amp;B59,'LSP-M8'!$A$2:$D$100,4,FALSE))," ",_xlfn.IFNA(VLOOKUP(A59&amp;" "&amp;B59,'LSP-M8'!$A$2:$D$100,4,FALSE)," "))</f>
        <v xml:space="preserve"> </v>
      </c>
    </row>
    <row r="60" spans="1:7" x14ac:dyDescent="0.35">
      <c r="A60" t="s">
        <v>26</v>
      </c>
      <c r="B60">
        <v>1</v>
      </c>
      <c r="C60">
        <f>IF(ISBLANK(VLOOKUP(A60&amp;" "&amp;B60,'LSP-M4'!$A$2:$D$100,4,FALSE))," ",_xlfn.IFNA(VLOOKUP(A60&amp;" "&amp;B60,'LSP-M4'!$A$2:$D$100,4,FALSE)," "))</f>
        <v>3.073</v>
      </c>
      <c r="D60">
        <f>IF(ISBLANK(VLOOKUP(A60&amp;" "&amp;B60,'LSP-M5'!$A$2:$D$100,4,FALSE))," ",_xlfn.IFNA(VLOOKUP(A60&amp;" "&amp;B60,'LSP-M5'!$A$2:$D$100,4,FALSE)," "))</f>
        <v>4.532</v>
      </c>
      <c r="E60" t="str">
        <f>IF(ISBLANK(VLOOKUP(A60&amp;" "&amp;B60,'LSP-M6'!$A$2:$D$100,4,FALSE))," ",_xlfn.IFNA(VLOOKUP(A60&amp;" "&amp;B60,'LSP-M6'!$A$2:$D$100,4,FALSE)," "))</f>
        <v xml:space="preserve"> </v>
      </c>
      <c r="F60" t="str">
        <f>IF(ISBLANK(VLOOKUP(A60&amp;" "&amp;B60,'LSP-M7'!$A$2:$D$100,4,FALSE))," ",_xlfn.IFNA(VLOOKUP(A60&amp;" "&amp;B60,'LSP-M7'!$A$2:$D$100,4,FALSE)," "))</f>
        <v xml:space="preserve"> </v>
      </c>
      <c r="G60" t="str">
        <f>IF(ISBLANK(VLOOKUP(A60&amp;" "&amp;B60,'LSP-M8'!$A$2:$D$100,4,FALSE))," ",_xlfn.IFNA(VLOOKUP(A60&amp;" "&amp;B60,'LSP-M8'!$A$2:$D$100,4,FALSE)," "))</f>
        <v xml:space="preserve"> </v>
      </c>
    </row>
    <row r="61" spans="1:7" x14ac:dyDescent="0.35">
      <c r="A61" t="s">
        <v>26</v>
      </c>
      <c r="B61">
        <v>2</v>
      </c>
      <c r="C61">
        <f>IF(ISBLANK(VLOOKUP(A61&amp;" "&amp;B61,'LSP-M4'!$A$2:$D$100,4,FALSE))," ",_xlfn.IFNA(VLOOKUP(A61&amp;" "&amp;B61,'LSP-M4'!$A$2:$D$100,4,FALSE)," "))</f>
        <v>7.306</v>
      </c>
      <c r="D61">
        <f>IF(ISBLANK(VLOOKUP(A61&amp;" "&amp;B61,'LSP-M5'!$A$2:$D$100,4,FALSE))," ",_xlfn.IFNA(VLOOKUP(A61&amp;" "&amp;B61,'LSP-M5'!$A$2:$D$100,4,FALSE)," "))</f>
        <v>13.451000000000001</v>
      </c>
      <c r="E61" t="str">
        <f>IF(ISBLANK(VLOOKUP(A61&amp;" "&amp;B61,'LSP-M6'!$A$2:$D$100,4,FALSE))," ",_xlfn.IFNA(VLOOKUP(A61&amp;" "&amp;B61,'LSP-M6'!$A$2:$D$100,4,FALSE)," "))</f>
        <v xml:space="preserve"> </v>
      </c>
      <c r="F61" t="str">
        <f>IF(ISBLANK(VLOOKUP(A61&amp;" "&amp;B61,'LSP-M7'!$A$2:$D$100,4,FALSE))," ",_xlfn.IFNA(VLOOKUP(A61&amp;" "&amp;B61,'LSP-M7'!$A$2:$D$100,4,FALSE)," "))</f>
        <v xml:space="preserve"> </v>
      </c>
      <c r="G61" t="str">
        <f>IF(ISBLANK(VLOOKUP(A61&amp;" "&amp;B61,'LSP-M8'!$A$2:$D$100,4,FALSE))," ",_xlfn.IFNA(VLOOKUP(A61&amp;" "&amp;B61,'LSP-M8'!$A$2:$D$100,4,FALSE)," "))</f>
        <v xml:space="preserve"> </v>
      </c>
    </row>
    <row r="62" spans="1:7" x14ac:dyDescent="0.35">
      <c r="A62" t="s">
        <v>26</v>
      </c>
      <c r="B62">
        <v>3</v>
      </c>
      <c r="C62">
        <f>IF(ISBLANK(VLOOKUP(A62&amp;" "&amp;B62,'LSP-M4'!$A$2:$D$100,4,FALSE))," ",_xlfn.IFNA(VLOOKUP(A62&amp;" "&amp;B62,'LSP-M4'!$A$2:$D$100,4,FALSE)," "))</f>
        <v>9.1229999999999993</v>
      </c>
      <c r="D62" t="str">
        <f>IF(ISBLANK(VLOOKUP(A62&amp;" "&amp;B62,'LSP-M5'!$A$2:$D$100,4,FALSE))," ",_xlfn.IFNA(VLOOKUP(A62&amp;" "&amp;B62,'LSP-M5'!$A$2:$D$100,4,FALSE)," "))</f>
        <v xml:space="preserve"> </v>
      </c>
      <c r="E62" t="str">
        <f>IF(ISBLANK(VLOOKUP(A62&amp;" "&amp;B62,'LSP-M6'!$A$2:$D$100,4,FALSE))," ",_xlfn.IFNA(VLOOKUP(A62&amp;" "&amp;B62,'LSP-M6'!$A$2:$D$100,4,FALSE)," "))</f>
        <v xml:space="preserve"> </v>
      </c>
      <c r="F62" t="str">
        <f>IF(ISBLANK(VLOOKUP(A62&amp;" "&amp;B62,'LSP-M7'!$A$2:$D$100,4,FALSE))," ",_xlfn.IFNA(VLOOKUP(A62&amp;" "&amp;B62,'LSP-M7'!$A$2:$D$100,4,FALSE)," "))</f>
        <v xml:space="preserve"> </v>
      </c>
      <c r="G62" t="str">
        <f>IF(ISBLANK(VLOOKUP(A62&amp;" "&amp;B62,'LSP-M8'!$A$2:$D$100,4,FALSE))," ",_xlfn.IFNA(VLOOKUP(A62&amp;" "&amp;B62,'LSP-M8'!$A$2:$D$100,4,FALSE)," "))</f>
        <v xml:space="preserve"> </v>
      </c>
    </row>
    <row r="63" spans="1:7" x14ac:dyDescent="0.35">
      <c r="A63" t="s">
        <v>27</v>
      </c>
      <c r="B63">
        <v>1</v>
      </c>
      <c r="C63">
        <f>IF(ISBLANK(VLOOKUP(A63&amp;" "&amp;B63,'LSP-M4'!$A$2:$D$100,4,FALSE))," ",_xlfn.IFNA(VLOOKUP(A63&amp;" "&amp;B63,'LSP-M4'!$A$2:$D$100,4,FALSE)," "))</f>
        <v>1.4319999999999999</v>
      </c>
      <c r="D63">
        <f>IF(ISBLANK(VLOOKUP(A63&amp;" "&amp;B63,'LSP-M5'!$A$2:$D$100,4,FALSE))," ",_xlfn.IFNA(VLOOKUP(A63&amp;" "&amp;B63,'LSP-M5'!$A$2:$D$100,4,FALSE)," "))</f>
        <v>2.077</v>
      </c>
      <c r="E63" t="str">
        <f>IF(ISBLANK(VLOOKUP(A63&amp;" "&amp;B63,'LSP-M6'!$A$2:$D$100,4,FALSE))," ",_xlfn.IFNA(VLOOKUP(A63&amp;" "&amp;B63,'LSP-M6'!$A$2:$D$100,4,FALSE)," "))</f>
        <v xml:space="preserve"> </v>
      </c>
      <c r="F63" t="str">
        <f>IF(ISBLANK(VLOOKUP(A63&amp;" "&amp;B63,'LSP-M7'!$A$2:$D$100,4,FALSE))," ",_xlfn.IFNA(VLOOKUP(A63&amp;" "&amp;B63,'LSP-M7'!$A$2:$D$100,4,FALSE)," "))</f>
        <v xml:space="preserve"> </v>
      </c>
      <c r="G63" t="str">
        <f>IF(ISBLANK(VLOOKUP(A63&amp;" "&amp;B63,'LSP-M8'!$A$2:$D$100,4,FALSE))," ",_xlfn.IFNA(VLOOKUP(A63&amp;" "&amp;B63,'LSP-M8'!$A$2:$D$100,4,FALSE)," "))</f>
        <v xml:space="preserve"> </v>
      </c>
    </row>
    <row r="64" spans="1:7" x14ac:dyDescent="0.35">
      <c r="A64" t="s">
        <v>27</v>
      </c>
      <c r="B64">
        <v>2</v>
      </c>
      <c r="C64">
        <f>IF(ISBLANK(VLOOKUP(A64&amp;" "&amp;B64,'LSP-M4'!$A$2:$D$100,4,FALSE))," ",_xlfn.IFNA(VLOOKUP(A64&amp;" "&amp;B64,'LSP-M4'!$A$2:$D$100,4,FALSE)," "))</f>
        <v>5.5039999999999996</v>
      </c>
      <c r="D64">
        <f>IF(ISBLANK(VLOOKUP(A64&amp;" "&amp;B64,'LSP-M5'!$A$2:$D$100,4,FALSE))," ",_xlfn.IFNA(VLOOKUP(A64&amp;" "&amp;B64,'LSP-M5'!$A$2:$D$100,4,FALSE)," "))</f>
        <v>5.3869999999999996</v>
      </c>
      <c r="E64" t="str">
        <f>IF(ISBLANK(VLOOKUP(A64&amp;" "&amp;B64,'LSP-M6'!$A$2:$D$100,4,FALSE))," ",_xlfn.IFNA(VLOOKUP(A64&amp;" "&amp;B64,'LSP-M6'!$A$2:$D$100,4,FALSE)," "))</f>
        <v xml:space="preserve"> </v>
      </c>
      <c r="F64" t="str">
        <f>IF(ISBLANK(VLOOKUP(A64&amp;" "&amp;B64,'LSP-M7'!$A$2:$D$100,4,FALSE))," ",_xlfn.IFNA(VLOOKUP(A64&amp;" "&amp;B64,'LSP-M7'!$A$2:$D$100,4,FALSE)," "))</f>
        <v xml:space="preserve"> </v>
      </c>
      <c r="G64" t="str">
        <f>IF(ISBLANK(VLOOKUP(A64&amp;" "&amp;B64,'LSP-M8'!$A$2:$D$100,4,FALSE))," ",_xlfn.IFNA(VLOOKUP(A64&amp;" "&amp;B64,'LSP-M8'!$A$2:$D$100,4,FALSE)," "))</f>
        <v xml:space="preserve"> </v>
      </c>
    </row>
    <row r="65" spans="1:7" x14ac:dyDescent="0.35">
      <c r="A65" t="s">
        <v>28</v>
      </c>
      <c r="B65">
        <v>1</v>
      </c>
      <c r="C65">
        <f>IF(ISBLANK(VLOOKUP(A65&amp;" "&amp;B65,'LSP-M4'!$A$2:$D$100,4,FALSE))," ",_xlfn.IFNA(VLOOKUP(A65&amp;" "&amp;B65,'LSP-M4'!$A$2:$D$100,4,FALSE)," "))</f>
        <v>1.4970000000000001</v>
      </c>
      <c r="D65">
        <f>IF(ISBLANK(VLOOKUP(A65&amp;" "&amp;B65,'LSP-M5'!$A$2:$D$100,4,FALSE))," ",_xlfn.IFNA(VLOOKUP(A65&amp;" "&amp;B65,'LSP-M5'!$A$2:$D$100,4,FALSE)," "))</f>
        <v>7.3360000000000003</v>
      </c>
      <c r="E65" t="str">
        <f>IF(ISBLANK(VLOOKUP(A65&amp;" "&amp;B65,'LSP-M6'!$A$2:$D$100,4,FALSE))," ",_xlfn.IFNA(VLOOKUP(A65&amp;" "&amp;B65,'LSP-M6'!$A$2:$D$100,4,FALSE)," "))</f>
        <v xml:space="preserve"> </v>
      </c>
      <c r="F65" t="str">
        <f>IF(ISBLANK(VLOOKUP(A65&amp;" "&amp;B65,'LSP-M7'!$A$2:$D$100,4,FALSE))," ",_xlfn.IFNA(VLOOKUP(A65&amp;" "&amp;B65,'LSP-M7'!$A$2:$D$100,4,FALSE)," "))</f>
        <v xml:space="preserve"> </v>
      </c>
      <c r="G65" t="str">
        <f>IF(ISBLANK(VLOOKUP(A65&amp;" "&amp;B65,'LSP-M8'!$A$2:$D$100,4,FALSE))," ",_xlfn.IFNA(VLOOKUP(A65&amp;" "&amp;B65,'LSP-M8'!$A$2:$D$100,4,FALSE)," "))</f>
        <v xml:space="preserve"> </v>
      </c>
    </row>
    <row r="66" spans="1:7" x14ac:dyDescent="0.35">
      <c r="A66" t="s">
        <v>28</v>
      </c>
      <c r="B66">
        <v>2</v>
      </c>
      <c r="C66">
        <f>IF(ISBLANK(VLOOKUP(A66&amp;" "&amp;B66,'LSP-M4'!$A$2:$D$100,4,FALSE))," ",_xlfn.IFNA(VLOOKUP(A66&amp;" "&amp;B66,'LSP-M4'!$A$2:$D$100,4,FALSE)," "))</f>
        <v>2.3380000000000001</v>
      </c>
      <c r="D66">
        <f>IF(ISBLANK(VLOOKUP(A66&amp;" "&amp;B66,'LSP-M5'!$A$2:$D$100,4,FALSE))," ",_xlfn.IFNA(VLOOKUP(A66&amp;" "&amp;B66,'LSP-M5'!$A$2:$D$100,4,FALSE)," "))</f>
        <v>2.577</v>
      </c>
      <c r="E66" t="str">
        <f>IF(ISBLANK(VLOOKUP(A66&amp;" "&amp;B66,'LSP-M6'!$A$2:$D$100,4,FALSE))," ",_xlfn.IFNA(VLOOKUP(A66&amp;" "&amp;B66,'LSP-M6'!$A$2:$D$100,4,FALSE)," "))</f>
        <v xml:space="preserve"> </v>
      </c>
      <c r="F66" t="str">
        <f>IF(ISBLANK(VLOOKUP(A66&amp;" "&amp;B66,'LSP-M7'!$A$2:$D$100,4,FALSE))," ",_xlfn.IFNA(VLOOKUP(A66&amp;" "&amp;B66,'LSP-M7'!$A$2:$D$100,4,FALSE)," "))</f>
        <v xml:space="preserve"> </v>
      </c>
      <c r="G66" t="str">
        <f>IF(ISBLANK(VLOOKUP(A66&amp;" "&amp;B66,'LSP-M8'!$A$2:$D$100,4,FALSE))," ",_xlfn.IFNA(VLOOKUP(A66&amp;" "&amp;B66,'LSP-M8'!$A$2:$D$100,4,FALSE)," "))</f>
        <v xml:space="preserve"> </v>
      </c>
    </row>
    <row r="67" spans="1:7" x14ac:dyDescent="0.35">
      <c r="A67" t="s">
        <v>28</v>
      </c>
      <c r="B67">
        <v>3</v>
      </c>
      <c r="C67">
        <f>IF(ISBLANK(VLOOKUP(A67&amp;" "&amp;B67,'LSP-M4'!$A$2:$D$100,4,FALSE))," ",_xlfn.IFNA(VLOOKUP(A67&amp;" "&amp;B67,'LSP-M4'!$A$2:$D$100,4,FALSE)," "))</f>
        <v>1.661</v>
      </c>
      <c r="D67">
        <f>IF(ISBLANK(VLOOKUP(A67&amp;" "&amp;B67,'LSP-M5'!$A$2:$D$100,4,FALSE))," ",_xlfn.IFNA(VLOOKUP(A67&amp;" "&amp;B67,'LSP-M5'!$A$2:$D$100,4,FALSE)," "))</f>
        <v>2.8769999999999998</v>
      </c>
      <c r="E67" t="str">
        <f>IF(ISBLANK(VLOOKUP(A67&amp;" "&amp;B67,'LSP-M6'!$A$2:$D$100,4,FALSE))," ",_xlfn.IFNA(VLOOKUP(A67&amp;" "&amp;B67,'LSP-M6'!$A$2:$D$100,4,FALSE)," "))</f>
        <v xml:space="preserve"> </v>
      </c>
      <c r="F67" t="str">
        <f>IF(ISBLANK(VLOOKUP(A67&amp;" "&amp;B67,'LSP-M7'!$A$2:$D$100,4,FALSE))," ",_xlfn.IFNA(VLOOKUP(A67&amp;" "&amp;B67,'LSP-M7'!$A$2:$D$100,4,FALSE)," "))</f>
        <v xml:space="preserve"> </v>
      </c>
      <c r="G67" t="str">
        <f>IF(ISBLANK(VLOOKUP(A67&amp;" "&amp;B67,'LSP-M8'!$A$2:$D$100,4,FALSE))," ",_xlfn.IFNA(VLOOKUP(A67&amp;" "&amp;B67,'LSP-M8'!$A$2:$D$100,4,FALSE)," "))</f>
        <v xml:space="preserve"> </v>
      </c>
    </row>
    <row r="68" spans="1:7" x14ac:dyDescent="0.35">
      <c r="A68" t="s">
        <v>29</v>
      </c>
      <c r="B68">
        <v>1</v>
      </c>
      <c r="C68">
        <f>IF(ISBLANK(VLOOKUP(A68&amp;" "&amp;B68,'LSP-M4'!$A$2:$D$100,4,FALSE))," ",_xlfn.IFNA(VLOOKUP(A68&amp;" "&amp;B68,'LSP-M4'!$A$2:$D$100,4,FALSE)," "))</f>
        <v>3.3220000000000001</v>
      </c>
      <c r="D68">
        <f>IF(ISBLANK(VLOOKUP(A68&amp;" "&amp;B68,'LSP-M5'!$A$2:$D$100,4,FALSE))," ",_xlfn.IFNA(VLOOKUP(A68&amp;" "&amp;B68,'LSP-M5'!$A$2:$D$100,4,FALSE)," "))</f>
        <v>3.3220000000000001</v>
      </c>
      <c r="E68" t="str">
        <f>IF(ISBLANK(VLOOKUP(A68&amp;" "&amp;B68,'LSP-M6'!$A$2:$D$100,4,FALSE))," ",_xlfn.IFNA(VLOOKUP(A68&amp;" "&amp;B68,'LSP-M6'!$A$2:$D$100,4,FALSE)," "))</f>
        <v xml:space="preserve"> </v>
      </c>
      <c r="F68" t="str">
        <f>IF(ISBLANK(VLOOKUP(A68&amp;" "&amp;B68,'LSP-M7'!$A$2:$D$100,4,FALSE))," ",_xlfn.IFNA(VLOOKUP(A68&amp;" "&amp;B68,'LSP-M7'!$A$2:$D$100,4,FALSE)," "))</f>
        <v xml:space="preserve"> </v>
      </c>
      <c r="G68" t="str">
        <f>IF(ISBLANK(VLOOKUP(A68&amp;" "&amp;B68,'LSP-M8'!$A$2:$D$100,4,FALSE))," ",_xlfn.IFNA(VLOOKUP(A68&amp;" "&amp;B68,'LSP-M8'!$A$2:$D$100,4,FALSE)," "))</f>
        <v xml:space="preserve"> </v>
      </c>
    </row>
    <row r="69" spans="1:7" x14ac:dyDescent="0.35">
      <c r="A69" t="s">
        <v>29</v>
      </c>
      <c r="B69">
        <v>2</v>
      </c>
      <c r="C69">
        <f>IF(ISBLANK(VLOOKUP(A69&amp;" "&amp;B69,'LSP-M4'!$A$2:$D$100,4,FALSE))," ",_xlfn.IFNA(VLOOKUP(A69&amp;" "&amp;B69,'LSP-M4'!$A$2:$D$100,4,FALSE)," "))</f>
        <v>4.01</v>
      </c>
      <c r="D69">
        <f>IF(ISBLANK(VLOOKUP(A69&amp;" "&amp;B69,'LSP-M5'!$A$2:$D$100,4,FALSE))," ",_xlfn.IFNA(VLOOKUP(A69&amp;" "&amp;B69,'LSP-M5'!$A$2:$D$100,4,FALSE)," "))</f>
        <v>7.5419999999999998</v>
      </c>
      <c r="E69" t="str">
        <f>IF(ISBLANK(VLOOKUP(A69&amp;" "&amp;B69,'LSP-M6'!$A$2:$D$100,4,FALSE))," ",_xlfn.IFNA(VLOOKUP(A69&amp;" "&amp;B69,'LSP-M6'!$A$2:$D$100,4,FALSE)," "))</f>
        <v xml:space="preserve"> </v>
      </c>
      <c r="F69" t="str">
        <f>IF(ISBLANK(VLOOKUP(A69&amp;" "&amp;B69,'LSP-M7'!$A$2:$D$100,4,FALSE))," ",_xlfn.IFNA(VLOOKUP(A69&amp;" "&amp;B69,'LSP-M7'!$A$2:$D$100,4,FALSE)," "))</f>
        <v xml:space="preserve"> </v>
      </c>
      <c r="G69" t="str">
        <f>IF(ISBLANK(VLOOKUP(A69&amp;" "&amp;B69,'LSP-M8'!$A$2:$D$100,4,FALSE))," ",_xlfn.IFNA(VLOOKUP(A69&amp;" "&amp;B69,'LSP-M8'!$A$2:$D$100,4,FALSE)," "))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C1DB-3F65-4F3D-92DE-9014BC98D342}">
  <dimension ref="A1:I69"/>
  <sheetViews>
    <sheetView workbookViewId="0">
      <selection activeCell="A2" sqref="A2"/>
    </sheetView>
  </sheetViews>
  <sheetFormatPr defaultRowHeight="14.5" x14ac:dyDescent="0.35"/>
  <cols>
    <col min="2" max="2" width="16.6328125" bestFit="1" customWidth="1"/>
    <col min="4" max="4" width="16.08984375" bestFit="1" customWidth="1"/>
    <col min="5" max="5" width="16.1796875" bestFit="1" customWidth="1"/>
    <col min="6" max="6" width="13.08984375" bestFit="1" customWidth="1"/>
    <col min="7" max="7" width="14.1796875" bestFit="1" customWidth="1"/>
    <col min="8" max="8" width="18.90625" bestFit="1" customWidth="1"/>
    <col min="9" max="9" width="16.81640625" bestFit="1" customWidth="1"/>
  </cols>
  <sheetData>
    <row r="1" spans="1:9" x14ac:dyDescent="0.35">
      <c r="B1" t="s">
        <v>0</v>
      </c>
      <c r="C1" t="s">
        <v>30</v>
      </c>
      <c r="D1" t="s">
        <v>37</v>
      </c>
      <c r="E1" t="s">
        <v>38</v>
      </c>
      <c r="F1" t="s">
        <v>39</v>
      </c>
      <c r="G1" t="s">
        <v>40</v>
      </c>
      <c r="H1" t="s">
        <v>36</v>
      </c>
      <c r="I1" t="s">
        <v>41</v>
      </c>
    </row>
    <row r="2" spans="1:9" x14ac:dyDescent="0.35">
      <c r="A2" t="str">
        <f>LSP_M4[[#This Row],[country]]&amp;" "&amp;LSP_M4[[#This Row],[cluster]]</f>
        <v>Japan 1</v>
      </c>
      <c r="B2" s="2" t="s">
        <v>2</v>
      </c>
      <c r="C2">
        <v>1</v>
      </c>
      <c r="D2">
        <v>0.97699999999999998</v>
      </c>
      <c r="E2">
        <v>129.23584516903381</v>
      </c>
      <c r="F2">
        <v>6.8859703131961381E-2</v>
      </c>
      <c r="G2">
        <v>144</v>
      </c>
      <c r="H2">
        <v>46080</v>
      </c>
      <c r="I2">
        <v>46080</v>
      </c>
    </row>
    <row r="3" spans="1:9" x14ac:dyDescent="0.35">
      <c r="A3" t="str">
        <f>LSP_M4[[#This Row],[country]]&amp;" "&amp;LSP_M4[[#This Row],[cluster]]</f>
        <v>Japan 2</v>
      </c>
      <c r="B3" s="2" t="s">
        <v>2</v>
      </c>
      <c r="C3">
        <v>2</v>
      </c>
      <c r="D3">
        <v>2.282</v>
      </c>
      <c r="E3">
        <v>54.820962192438493</v>
      </c>
      <c r="F3">
        <v>6.8970503273594691E-2</v>
      </c>
      <c r="G3">
        <v>130</v>
      </c>
      <c r="H3">
        <v>45665</v>
      </c>
      <c r="I3">
        <v>45665</v>
      </c>
    </row>
    <row r="4" spans="1:9" x14ac:dyDescent="0.35">
      <c r="A4" t="str">
        <f>LSP_M4[[#This Row],[country]]&amp;" "&amp;LSP_M4[[#This Row],[cluster]]</f>
        <v>Japan 3</v>
      </c>
      <c r="B4" s="2" t="s">
        <v>2</v>
      </c>
      <c r="C4">
        <v>3</v>
      </c>
      <c r="D4">
        <v>6.0919999999999996</v>
      </c>
      <c r="E4">
        <v>15.613120624124827</v>
      </c>
      <c r="F4">
        <v>0.23497531618871204</v>
      </c>
      <c r="G4">
        <v>28</v>
      </c>
      <c r="H4">
        <v>34716</v>
      </c>
      <c r="I4">
        <v>34716</v>
      </c>
    </row>
    <row r="5" spans="1:9" x14ac:dyDescent="0.35">
      <c r="A5" t="str">
        <f>LSP_M4[[#This Row],[country]]&amp;" "&amp;LSP_M4[[#This Row],[cluster]]</f>
        <v>Papua New Guinea 1</v>
      </c>
      <c r="B5" s="2" t="s">
        <v>3</v>
      </c>
      <c r="C5">
        <v>1</v>
      </c>
      <c r="D5">
        <v>1.528</v>
      </c>
      <c r="E5">
        <v>82.826563312662543</v>
      </c>
      <c r="F5">
        <v>6.9434335289068949E-2</v>
      </c>
      <c r="G5">
        <v>141</v>
      </c>
      <c r="H5">
        <v>46204</v>
      </c>
      <c r="I5">
        <v>46204</v>
      </c>
    </row>
    <row r="6" spans="1:9" x14ac:dyDescent="0.35">
      <c r="A6" t="str">
        <f>LSP_M4[[#This Row],[country]]&amp;" "&amp;LSP_M4[[#This Row],[cluster]]</f>
        <v>Papua New Guinea 2</v>
      </c>
      <c r="B6" s="2" t="s">
        <v>3</v>
      </c>
      <c r="C6">
        <v>2</v>
      </c>
      <c r="D6">
        <v>2.073</v>
      </c>
      <c r="E6">
        <v>34.816961392278451</v>
      </c>
      <c r="F6">
        <v>0.13020821693096374</v>
      </c>
      <c r="G6">
        <v>59</v>
      </c>
      <c r="H6">
        <v>26346</v>
      </c>
      <c r="I6">
        <v>26346</v>
      </c>
    </row>
    <row r="7" spans="1:9" x14ac:dyDescent="0.35">
      <c r="A7" t="str">
        <f>LSP_M4[[#This Row],[country]]&amp;" "&amp;LSP_M4[[#This Row],[cluster]]</f>
        <v>Papua New Guinea 3</v>
      </c>
      <c r="B7" s="2" t="s">
        <v>3</v>
      </c>
      <c r="C7">
        <v>3</v>
      </c>
      <c r="D7">
        <v>2.516</v>
      </c>
      <c r="E7">
        <v>43.218641728345666</v>
      </c>
      <c r="F7">
        <v>0.25590255083792329</v>
      </c>
      <c r="G7">
        <v>49</v>
      </c>
      <c r="H7">
        <v>39695</v>
      </c>
      <c r="I7">
        <v>39695</v>
      </c>
    </row>
    <row r="8" spans="1:9" x14ac:dyDescent="0.35">
      <c r="A8" t="str">
        <f>LSP_M4[[#This Row],[country]]&amp;" "&amp;LSP_M4[[#This Row],[cluster]]</f>
        <v>Philippines 1</v>
      </c>
      <c r="B8" s="2" t="s">
        <v>4</v>
      </c>
      <c r="C8">
        <v>1</v>
      </c>
      <c r="D8">
        <v>1.1040000000000001</v>
      </c>
      <c r="E8">
        <v>112.83256451290259</v>
      </c>
      <c r="F8">
        <v>5.0456729516893679E-2</v>
      </c>
      <c r="G8">
        <v>145</v>
      </c>
      <c r="H8">
        <v>45466</v>
      </c>
      <c r="I8">
        <v>45466</v>
      </c>
    </row>
    <row r="9" spans="1:9" x14ac:dyDescent="0.35">
      <c r="A9" t="str">
        <f>LSP_M4[[#This Row],[country]]&amp;" "&amp;LSP_M4[[#This Row],[cluster]]</f>
        <v>Philippines 2</v>
      </c>
      <c r="B9" s="2" t="s">
        <v>4</v>
      </c>
      <c r="C9">
        <v>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tr">
        <f>LSP_M4[[#This Row],[country]]&amp;" "&amp;LSP_M4[[#This Row],[cluster]]</f>
        <v>Tonga 1</v>
      </c>
      <c r="B10" s="2" t="s">
        <v>5</v>
      </c>
      <c r="C10">
        <v>1</v>
      </c>
      <c r="D10">
        <v>1.004</v>
      </c>
      <c r="E10">
        <v>122.8345649129826</v>
      </c>
      <c r="F10">
        <v>6.1804044073520963E-2</v>
      </c>
      <c r="G10">
        <v>130</v>
      </c>
      <c r="H10">
        <v>45005</v>
      </c>
      <c r="I10">
        <v>45005</v>
      </c>
    </row>
    <row r="11" spans="1:9" x14ac:dyDescent="0.35">
      <c r="A11" t="str">
        <f>LSP_M4[[#This Row],[country]]&amp;" "&amp;LSP_M4[[#This Row],[cluster]]</f>
        <v>USA 1</v>
      </c>
      <c r="B11" s="2" t="s">
        <v>6</v>
      </c>
      <c r="C11">
        <v>1</v>
      </c>
      <c r="D11">
        <v>1.802</v>
      </c>
      <c r="E11">
        <v>69.62392278455691</v>
      </c>
      <c r="F11">
        <v>6.3434978642400427E-2</v>
      </c>
      <c r="G11">
        <v>141</v>
      </c>
      <c r="H11">
        <v>45802</v>
      </c>
      <c r="I11">
        <v>45802</v>
      </c>
    </row>
    <row r="12" spans="1:9" x14ac:dyDescent="0.35">
      <c r="A12" t="str">
        <f>LSP_M4[[#This Row],[country]]&amp;" "&amp;LSP_M4[[#This Row],[cluster]]</f>
        <v>USA 2</v>
      </c>
      <c r="B12" s="2" t="s">
        <v>6</v>
      </c>
      <c r="C12">
        <v>2</v>
      </c>
      <c r="D12">
        <v>1.911</v>
      </c>
      <c r="E12">
        <v>66.023202640528112</v>
      </c>
      <c r="F12">
        <v>5.6853526909906839E-2</v>
      </c>
      <c r="G12">
        <v>145</v>
      </c>
      <c r="H12">
        <v>46055</v>
      </c>
      <c r="I12">
        <v>46055</v>
      </c>
    </row>
    <row r="13" spans="1:9" x14ac:dyDescent="0.35">
      <c r="A13" t="str">
        <f>LSP_M4[[#This Row],[country]]&amp;" "&amp;LSP_M4[[#This Row],[cluster]]</f>
        <v>USA 3</v>
      </c>
      <c r="B13" s="2" t="s">
        <v>6</v>
      </c>
      <c r="C13">
        <v>3</v>
      </c>
      <c r="D13">
        <v>1.202</v>
      </c>
      <c r="E13">
        <v>102.83056411282257</v>
      </c>
      <c r="F13">
        <v>6.6935602047304948E-2</v>
      </c>
      <c r="G13">
        <v>130</v>
      </c>
      <c r="H13">
        <v>45102</v>
      </c>
      <c r="I13">
        <v>45102</v>
      </c>
    </row>
    <row r="14" spans="1:9" x14ac:dyDescent="0.35">
      <c r="A14" t="str">
        <f>LSP_M4[[#This Row],[country]]&amp;" "&amp;LSP_M4[[#This Row],[cluster]]</f>
        <v>Mexico 1</v>
      </c>
      <c r="B14" s="2" t="s">
        <v>7</v>
      </c>
      <c r="C14">
        <v>1</v>
      </c>
      <c r="D14">
        <v>1.4790000000000001</v>
      </c>
      <c r="E14">
        <v>85.227043408681737</v>
      </c>
      <c r="F14">
        <v>6.4883403967860173E-2</v>
      </c>
      <c r="G14">
        <v>127</v>
      </c>
      <c r="H14">
        <v>46003</v>
      </c>
      <c r="I14">
        <v>46003</v>
      </c>
    </row>
    <row r="15" spans="1:9" x14ac:dyDescent="0.35">
      <c r="A15" t="str">
        <f>LSP_M4[[#This Row],[country]]&amp;" "&amp;LSP_M4[[#This Row],[cluster]]</f>
        <v>Mexico 2</v>
      </c>
      <c r="B15" s="2" t="s">
        <v>7</v>
      </c>
      <c r="C15">
        <v>2</v>
      </c>
      <c r="D15">
        <v>2.3410000000000002</v>
      </c>
      <c r="E15">
        <v>52.820562112422486</v>
      </c>
      <c r="F15">
        <v>8.225125160782519E-2</v>
      </c>
      <c r="G15">
        <v>123</v>
      </c>
      <c r="H15">
        <v>45126</v>
      </c>
      <c r="I15">
        <v>45126</v>
      </c>
    </row>
    <row r="16" spans="1:9" x14ac:dyDescent="0.35">
      <c r="A16" t="str">
        <f>LSP_M4[[#This Row],[country]]&amp;" "&amp;LSP_M4[[#This Row],[cluster]]</f>
        <v>Mexico 3</v>
      </c>
      <c r="B16" s="2" t="s">
        <v>7</v>
      </c>
      <c r="C16">
        <v>3</v>
      </c>
      <c r="D16">
        <v>3.1890000000000001</v>
      </c>
      <c r="E16">
        <v>30.816161232246451</v>
      </c>
      <c r="F16">
        <v>9.481253396727693E-2</v>
      </c>
      <c r="G16">
        <v>65</v>
      </c>
      <c r="H16">
        <v>35864</v>
      </c>
      <c r="I16">
        <v>35864</v>
      </c>
    </row>
    <row r="17" spans="1:9" x14ac:dyDescent="0.35">
      <c r="A17" t="str">
        <f>LSP_M4[[#This Row],[country]]&amp;" "&amp;LSP_M4[[#This Row],[cluster]]</f>
        <v>Canada 1</v>
      </c>
      <c r="B17" s="2" t="s">
        <v>8</v>
      </c>
      <c r="C17">
        <v>1</v>
      </c>
      <c r="D17">
        <v>2.6469999999999998</v>
      </c>
      <c r="E17">
        <v>43.618721744348868</v>
      </c>
      <c r="F17">
        <v>9.3641529236345708E-2</v>
      </c>
      <c r="G17">
        <v>99</v>
      </c>
      <c r="H17">
        <v>42143</v>
      </c>
      <c r="I17">
        <v>42143</v>
      </c>
    </row>
    <row r="18" spans="1:9" x14ac:dyDescent="0.35">
      <c r="A18" t="str">
        <f>LSP_M4[[#This Row],[country]]&amp;" "&amp;LSP_M4[[#This Row],[cluster]]</f>
        <v>Canada 2</v>
      </c>
      <c r="B18" s="2" t="s">
        <v>8</v>
      </c>
      <c r="C18">
        <v>2</v>
      </c>
      <c r="D18">
        <v>2.4420000000000002</v>
      </c>
      <c r="E18">
        <v>34.416881376275256</v>
      </c>
      <c r="F18">
        <v>7.394581392772466E-2</v>
      </c>
      <c r="G18">
        <v>47</v>
      </c>
      <c r="H18">
        <v>30678</v>
      </c>
      <c r="I18">
        <v>30678</v>
      </c>
    </row>
    <row r="19" spans="1:9" x14ac:dyDescent="0.35">
      <c r="A19" t="str">
        <f>LSP_M4[[#This Row],[country]]&amp;" "&amp;LSP_M4[[#This Row],[cluster]]</f>
        <v>Canada 3</v>
      </c>
      <c r="B19" s="2" t="s">
        <v>8</v>
      </c>
      <c r="C19">
        <v>3</v>
      </c>
      <c r="D19">
        <v>3.9039999999999999</v>
      </c>
      <c r="E19">
        <v>12.412480496099219</v>
      </c>
      <c r="F19">
        <v>0.19073074513079655</v>
      </c>
      <c r="G19">
        <v>20</v>
      </c>
      <c r="H19">
        <v>17689</v>
      </c>
      <c r="I19">
        <v>17689</v>
      </c>
    </row>
    <row r="20" spans="1:9" x14ac:dyDescent="0.35">
      <c r="A20" t="str">
        <f>LSP_M4[[#This Row],[country]]&amp;" "&amp;LSP_M4[[#This Row],[cluster]]</f>
        <v>Guatemala 1</v>
      </c>
      <c r="B20" s="2" t="s">
        <v>9</v>
      </c>
      <c r="C20">
        <v>1</v>
      </c>
      <c r="D20">
        <v>1.3440000000000001</v>
      </c>
      <c r="E20">
        <v>92.428483696739349</v>
      </c>
      <c r="F20">
        <v>0.10210368997664616</v>
      </c>
      <c r="G20">
        <v>100</v>
      </c>
      <c r="H20">
        <v>45355</v>
      </c>
      <c r="I20">
        <v>45355</v>
      </c>
    </row>
    <row r="21" spans="1:9" x14ac:dyDescent="0.35">
      <c r="A21" t="str">
        <f>LSP_M4[[#This Row],[country]]&amp;" "&amp;LSP_M4[[#This Row],[cluster]]</f>
        <v>Guatemala 2</v>
      </c>
      <c r="B21" s="2" t="s">
        <v>9</v>
      </c>
      <c r="C21">
        <v>2</v>
      </c>
      <c r="D21">
        <v>8.3629999999999995</v>
      </c>
      <c r="E21">
        <v>13.612720544108823</v>
      </c>
      <c r="F21">
        <v>0.3024772245724196</v>
      </c>
      <c r="G21">
        <v>20</v>
      </c>
      <c r="H21">
        <v>41552</v>
      </c>
      <c r="I21">
        <v>41552</v>
      </c>
    </row>
    <row r="22" spans="1:9" x14ac:dyDescent="0.35">
      <c r="A22" t="str">
        <f>LSP_M4[[#This Row],[country]]&amp;" "&amp;LSP_M4[[#This Row],[cluster]]</f>
        <v>Russia 1</v>
      </c>
      <c r="B22" s="2" t="s">
        <v>10</v>
      </c>
      <c r="C22">
        <v>1</v>
      </c>
      <c r="D22">
        <v>1.069</v>
      </c>
      <c r="E22">
        <v>117.23344468893779</v>
      </c>
      <c r="F22">
        <v>6.9269810221069414E-2</v>
      </c>
      <c r="G22">
        <v>150</v>
      </c>
      <c r="H22">
        <v>45731</v>
      </c>
      <c r="I22">
        <v>45731</v>
      </c>
    </row>
    <row r="23" spans="1:9" x14ac:dyDescent="0.35">
      <c r="A23" t="str">
        <f>LSP_M4[[#This Row],[country]]&amp;" "&amp;LSP_M4[[#This Row],[cluster]]</f>
        <v>Russia 2</v>
      </c>
      <c r="B23" s="2" t="s">
        <v>10</v>
      </c>
      <c r="C23">
        <v>2</v>
      </c>
      <c r="D23">
        <v>1.75</v>
      </c>
      <c r="E23">
        <v>72.024402880576119</v>
      </c>
      <c r="F23">
        <v>9.3229155545494588E-2</v>
      </c>
      <c r="G23">
        <v>77</v>
      </c>
      <c r="H23">
        <v>46002</v>
      </c>
      <c r="I23">
        <v>46002</v>
      </c>
    </row>
    <row r="24" spans="1:9" x14ac:dyDescent="0.35">
      <c r="A24" t="str">
        <f>LSP_M4[[#This Row],[country]]&amp;" "&amp;LSP_M4[[#This Row],[cluster]]</f>
        <v>Russia 3</v>
      </c>
      <c r="B24" s="2" t="s">
        <v>10</v>
      </c>
      <c r="C24">
        <v>3</v>
      </c>
      <c r="D24">
        <v>2.1349999999999998</v>
      </c>
      <c r="E24">
        <v>56.02120224044809</v>
      </c>
      <c r="F24">
        <v>0.1618048019767824</v>
      </c>
      <c r="G24">
        <v>62</v>
      </c>
      <c r="H24">
        <v>43665</v>
      </c>
      <c r="I24">
        <v>43665</v>
      </c>
    </row>
    <row r="25" spans="1:9" x14ac:dyDescent="0.35">
      <c r="A25" t="str">
        <f>LSP_M4[[#This Row],[country]]&amp;" "&amp;LSP_M4[[#This Row],[cluster]]</f>
        <v>China 1</v>
      </c>
      <c r="B25" s="2" t="s">
        <v>11</v>
      </c>
      <c r="C25">
        <v>1</v>
      </c>
      <c r="D25">
        <v>2.6579999999999999</v>
      </c>
      <c r="E25">
        <v>46.419281856371271</v>
      </c>
      <c r="F25">
        <v>9.2386355514537916E-2</v>
      </c>
      <c r="G25">
        <v>102</v>
      </c>
      <c r="H25">
        <v>45030</v>
      </c>
      <c r="I25">
        <v>45030</v>
      </c>
    </row>
    <row r="26" spans="1:9" x14ac:dyDescent="0.35">
      <c r="A26" t="str">
        <f>LSP_M4[[#This Row],[country]]&amp;" "&amp;LSP_M4[[#This Row],[cluster]]</f>
        <v>China 2</v>
      </c>
      <c r="B26" s="2" t="s">
        <v>11</v>
      </c>
      <c r="C26">
        <v>2</v>
      </c>
      <c r="D26">
        <v>2.3889999999999998</v>
      </c>
      <c r="E26">
        <v>45.619121824364875</v>
      </c>
      <c r="F26">
        <v>6.2323654789578228E-2</v>
      </c>
      <c r="G26">
        <v>74</v>
      </c>
      <c r="H26">
        <v>39787</v>
      </c>
      <c r="I26">
        <v>39787</v>
      </c>
    </row>
    <row r="27" spans="1:9" x14ac:dyDescent="0.35">
      <c r="A27" t="str">
        <f>LSP_M4[[#This Row],[country]]&amp;" "&amp;LSP_M4[[#This Row],[cluster]]</f>
        <v>China 3</v>
      </c>
      <c r="B27" s="2" t="s">
        <v>11</v>
      </c>
      <c r="C27">
        <v>3</v>
      </c>
      <c r="D27">
        <v>2.3410000000000002</v>
      </c>
      <c r="E27">
        <v>43.218641728345666</v>
      </c>
      <c r="F27">
        <v>0.11664744818025077</v>
      </c>
      <c r="G27">
        <v>73</v>
      </c>
      <c r="H27">
        <v>36934</v>
      </c>
      <c r="I27">
        <v>36934</v>
      </c>
    </row>
    <row r="28" spans="1:9" x14ac:dyDescent="0.35">
      <c r="A28" t="str">
        <f>LSP_M4[[#This Row],[country]]&amp;" "&amp;LSP_M4[[#This Row],[cluster]]</f>
        <v>India 1</v>
      </c>
      <c r="B28" s="2" t="s">
        <v>12</v>
      </c>
      <c r="C28">
        <v>1</v>
      </c>
      <c r="D28">
        <v>1.224</v>
      </c>
      <c r="E28">
        <v>98.029603920784169</v>
      </c>
      <c r="F28">
        <v>8.4336018361985912E-2</v>
      </c>
      <c r="G28">
        <v>102</v>
      </c>
      <c r="H28">
        <v>43801</v>
      </c>
      <c r="I28">
        <v>43801</v>
      </c>
    </row>
    <row r="29" spans="1:9" x14ac:dyDescent="0.35">
      <c r="A29" t="str">
        <f>LSP_M4[[#This Row],[country]]&amp;" "&amp;LSP_M4[[#This Row],[cluster]]</f>
        <v>India 2</v>
      </c>
      <c r="B29" s="2" t="s">
        <v>12</v>
      </c>
      <c r="C29">
        <v>2</v>
      </c>
      <c r="D29">
        <v>1.6830000000000001</v>
      </c>
      <c r="E29">
        <v>71.224242848569716</v>
      </c>
      <c r="F29">
        <v>7.1152638772678301E-2</v>
      </c>
      <c r="G29">
        <v>106</v>
      </c>
      <c r="H29">
        <v>43756</v>
      </c>
      <c r="I29">
        <v>43756</v>
      </c>
    </row>
    <row r="30" spans="1:9" x14ac:dyDescent="0.35">
      <c r="A30" t="str">
        <f>LSP_M4[[#This Row],[country]]&amp;" "&amp;LSP_M4[[#This Row],[cluster]]</f>
        <v>India 3</v>
      </c>
      <c r="B30" s="2" t="s">
        <v>12</v>
      </c>
      <c r="C30">
        <v>3</v>
      </c>
      <c r="D30">
        <v>1.804</v>
      </c>
      <c r="E30">
        <v>67.223442688537716</v>
      </c>
      <c r="F30">
        <v>8.0188395106673166E-2</v>
      </c>
      <c r="G30">
        <v>84</v>
      </c>
      <c r="H30">
        <v>44257</v>
      </c>
      <c r="I30">
        <v>44257</v>
      </c>
    </row>
    <row r="31" spans="1:9" x14ac:dyDescent="0.35">
      <c r="A31" t="str">
        <f>LSP_M4[[#This Row],[country]]&amp;" "&amp;LSP_M4[[#This Row],[cluster]]</f>
        <v>Iran 1</v>
      </c>
      <c r="B31" s="2" t="s">
        <v>13</v>
      </c>
      <c r="C31">
        <v>1</v>
      </c>
      <c r="D31">
        <v>1.585</v>
      </c>
      <c r="E31">
        <v>76.425283056611335</v>
      </c>
      <c r="F31">
        <v>8.6415213770003496E-2</v>
      </c>
      <c r="G31">
        <v>115</v>
      </c>
      <c r="H31">
        <v>44209</v>
      </c>
      <c r="I31">
        <v>44209</v>
      </c>
    </row>
    <row r="32" spans="1:9" x14ac:dyDescent="0.35">
      <c r="A32" t="str">
        <f>LSP_M4[[#This Row],[country]]&amp;" "&amp;LSP_M4[[#This Row],[cluster]]</f>
        <v>Iran 2</v>
      </c>
      <c r="B32" s="2" t="s">
        <v>13</v>
      </c>
      <c r="C32">
        <v>2</v>
      </c>
      <c r="D32">
        <v>1.9450000000000001</v>
      </c>
      <c r="E32">
        <v>52.820562112422486</v>
      </c>
      <c r="F32">
        <v>0.1828471866927725</v>
      </c>
      <c r="G32">
        <v>74</v>
      </c>
      <c r="H32">
        <v>37497</v>
      </c>
      <c r="I32">
        <v>37497</v>
      </c>
    </row>
    <row r="33" spans="1:9" x14ac:dyDescent="0.35">
      <c r="A33" t="str">
        <f>LSP_M4[[#This Row],[country]]&amp;" "&amp;LSP_M4[[#This Row],[cluster]]</f>
        <v>Iran 3</v>
      </c>
      <c r="B33" s="2" t="s">
        <v>13</v>
      </c>
      <c r="C33">
        <v>3</v>
      </c>
      <c r="D33">
        <v>2.2050000000000001</v>
      </c>
      <c r="E33">
        <v>52.020402080416083</v>
      </c>
      <c r="F33">
        <v>8.8625192673531417E-2</v>
      </c>
      <c r="G33">
        <v>62</v>
      </c>
      <c r="H33">
        <v>41862</v>
      </c>
      <c r="I33">
        <v>41862</v>
      </c>
    </row>
    <row r="34" spans="1:9" x14ac:dyDescent="0.35">
      <c r="A34" t="str">
        <f>LSP_M4[[#This Row],[country]]&amp;" "&amp;LSP_M4[[#This Row],[cluster]]</f>
        <v>Nicaragua 1</v>
      </c>
      <c r="B34" s="2" t="s">
        <v>14</v>
      </c>
      <c r="C34">
        <v>1</v>
      </c>
      <c r="D34">
        <v>1.4339999999999999</v>
      </c>
      <c r="E34">
        <v>86.827363472694543</v>
      </c>
      <c r="F34">
        <v>0.1000401714942504</v>
      </c>
      <c r="G34">
        <v>103</v>
      </c>
      <c r="H34">
        <v>45460</v>
      </c>
      <c r="I34">
        <v>45460</v>
      </c>
    </row>
    <row r="35" spans="1:9" x14ac:dyDescent="0.35">
      <c r="A35" t="str">
        <f>LSP_M4[[#This Row],[country]]&amp;" "&amp;LSP_M4[[#This Row],[cluster]]</f>
        <v>El Salvador 1</v>
      </c>
      <c r="B35" s="2" t="s">
        <v>15</v>
      </c>
      <c r="C35">
        <v>1</v>
      </c>
      <c r="D35">
        <v>2.2549999999999999</v>
      </c>
      <c r="E35">
        <v>55.621122224444889</v>
      </c>
      <c r="F35">
        <v>7.1432108462319649E-2</v>
      </c>
      <c r="G35">
        <v>91</v>
      </c>
      <c r="H35">
        <v>45771</v>
      </c>
      <c r="I35">
        <v>45771</v>
      </c>
    </row>
    <row r="36" spans="1:9" x14ac:dyDescent="0.35">
      <c r="A36" t="str">
        <f>LSP_M4[[#This Row],[country]]&amp;" "&amp;LSP_M4[[#This Row],[cluster]]</f>
        <v>Costa Rica 1</v>
      </c>
      <c r="B36" s="2" t="s">
        <v>16</v>
      </c>
      <c r="C36">
        <v>1</v>
      </c>
      <c r="D36">
        <v>2.09</v>
      </c>
      <c r="E36">
        <v>60.022002400480098</v>
      </c>
      <c r="F36">
        <v>7.3372289066432284E-2</v>
      </c>
      <c r="G36">
        <v>98</v>
      </c>
      <c r="H36">
        <v>45779</v>
      </c>
      <c r="I36">
        <v>45779</v>
      </c>
    </row>
    <row r="37" spans="1:9" x14ac:dyDescent="0.35">
      <c r="A37" t="str">
        <f>LSP_M4[[#This Row],[country]]&amp;" "&amp;LSP_M4[[#This Row],[cluster]]</f>
        <v>Dominican 1</v>
      </c>
      <c r="B37" s="2" t="s">
        <v>17</v>
      </c>
      <c r="C37">
        <v>1</v>
      </c>
      <c r="D37">
        <v>3.1560000000000001</v>
      </c>
      <c r="E37">
        <v>35.617121424284854</v>
      </c>
      <c r="F37">
        <v>5.5174588610764526E-2</v>
      </c>
      <c r="G37">
        <v>85</v>
      </c>
      <c r="H37">
        <v>41026</v>
      </c>
      <c r="I37">
        <v>41026</v>
      </c>
    </row>
    <row r="38" spans="1:9" x14ac:dyDescent="0.35">
      <c r="A38" t="str">
        <f>LSP_M4[[#This Row],[country]]&amp;" "&amp;LSP_M4[[#This Row],[cluster]]</f>
        <v>Dominican 2</v>
      </c>
      <c r="B38" s="2" t="s">
        <v>17</v>
      </c>
      <c r="C38">
        <v>2</v>
      </c>
      <c r="D38">
        <v>3.96</v>
      </c>
      <c r="E38">
        <v>12.012400480096019</v>
      </c>
      <c r="F38">
        <v>0.50195702052285807</v>
      </c>
      <c r="G38">
        <v>13</v>
      </c>
      <c r="H38">
        <v>17364</v>
      </c>
      <c r="I38">
        <v>17364</v>
      </c>
    </row>
    <row r="39" spans="1:9" x14ac:dyDescent="0.35">
      <c r="A39" t="str">
        <f>LSP_M4[[#This Row],[country]]&amp;" "&amp;LSP_M4[[#This Row],[cluster]]</f>
        <v>Chile 1</v>
      </c>
      <c r="B39" s="2" t="s">
        <v>18</v>
      </c>
      <c r="C39">
        <v>1</v>
      </c>
      <c r="D39">
        <v>1.0149999999999999</v>
      </c>
      <c r="E39">
        <v>120.43408481696341</v>
      </c>
      <c r="F39">
        <v>0.1030590082880689</v>
      </c>
      <c r="G39">
        <v>130</v>
      </c>
      <c r="H39">
        <v>44627</v>
      </c>
      <c r="I39">
        <v>44627</v>
      </c>
    </row>
    <row r="40" spans="1:9" x14ac:dyDescent="0.35">
      <c r="A40" t="str">
        <f>LSP_M4[[#This Row],[country]]&amp;" "&amp;LSP_M4[[#This Row],[cluster]]</f>
        <v>Chile 2</v>
      </c>
      <c r="B40" s="2" t="s">
        <v>18</v>
      </c>
      <c r="C40">
        <v>2</v>
      </c>
      <c r="D40">
        <v>1.661</v>
      </c>
      <c r="E40">
        <v>55.221042208441688</v>
      </c>
      <c r="F40">
        <v>9.7074185561445647E-2</v>
      </c>
      <c r="G40">
        <v>80</v>
      </c>
      <c r="H40">
        <v>33487</v>
      </c>
      <c r="I40">
        <v>33487</v>
      </c>
    </row>
    <row r="41" spans="1:9" x14ac:dyDescent="0.35">
      <c r="A41" t="str">
        <f>LSP_M4[[#This Row],[country]]&amp;" "&amp;LSP_M4[[#This Row],[cluster]]</f>
        <v>Chile 3</v>
      </c>
      <c r="B41" s="2" t="s">
        <v>18</v>
      </c>
      <c r="C41">
        <v>3</v>
      </c>
      <c r="D41">
        <v>3.194</v>
      </c>
      <c r="E41">
        <v>31.216241248249656</v>
      </c>
      <c r="F41">
        <v>6.839510702205559E-2</v>
      </c>
      <c r="G41">
        <v>68</v>
      </c>
      <c r="H41">
        <v>36395</v>
      </c>
      <c r="I41">
        <v>36395</v>
      </c>
    </row>
    <row r="42" spans="1:9" x14ac:dyDescent="0.35">
      <c r="A42" t="str">
        <f>LSP_M4[[#This Row],[country]]&amp;" "&amp;LSP_M4[[#This Row],[cluster]]</f>
        <v>Argentina 1</v>
      </c>
      <c r="B42" s="2" t="s">
        <v>19</v>
      </c>
      <c r="C42">
        <v>1</v>
      </c>
      <c r="D42">
        <v>1.8009999999999999</v>
      </c>
      <c r="E42">
        <v>58.821762352470493</v>
      </c>
      <c r="F42">
        <v>0.1478674715389654</v>
      </c>
      <c r="G42">
        <v>78</v>
      </c>
      <c r="H42">
        <v>38657</v>
      </c>
      <c r="I42">
        <v>38657</v>
      </c>
    </row>
    <row r="43" spans="1:9" x14ac:dyDescent="0.35">
      <c r="A43" t="str">
        <f>LSP_M4[[#This Row],[country]]&amp;" "&amp;LSP_M4[[#This Row],[cluster]]</f>
        <v>Argentina 2</v>
      </c>
      <c r="B43" s="2" t="s">
        <v>19</v>
      </c>
      <c r="C43">
        <v>2</v>
      </c>
      <c r="D43">
        <v>2.8570000000000002</v>
      </c>
      <c r="E43">
        <v>34.816961392278451</v>
      </c>
      <c r="F43">
        <v>0.13632763589570046</v>
      </c>
      <c r="G43">
        <v>70</v>
      </c>
      <c r="H43">
        <v>36305</v>
      </c>
      <c r="I43">
        <v>36305</v>
      </c>
    </row>
    <row r="44" spans="1:9" x14ac:dyDescent="0.35">
      <c r="A44" t="str">
        <f>LSP_M4[[#This Row],[country]]&amp;" "&amp;LSP_M4[[#This Row],[cluster]]</f>
        <v>Argentina 3</v>
      </c>
      <c r="B44" s="2" t="s">
        <v>19</v>
      </c>
      <c r="C44">
        <v>3</v>
      </c>
      <c r="D44">
        <v>3.0859999999999999</v>
      </c>
      <c r="E44">
        <v>36.817361472294458</v>
      </c>
      <c r="F44">
        <v>0.11395122597213411</v>
      </c>
      <c r="G44">
        <v>63</v>
      </c>
      <c r="H44">
        <v>41472</v>
      </c>
      <c r="I44">
        <v>41472</v>
      </c>
    </row>
    <row r="45" spans="1:9" x14ac:dyDescent="0.35">
      <c r="A45" t="str">
        <f>LSP_M4[[#This Row],[country]]&amp;" "&amp;LSP_M4[[#This Row],[cluster]]</f>
        <v>Peru 1</v>
      </c>
      <c r="B45" s="2" t="s">
        <v>20</v>
      </c>
      <c r="C45">
        <v>1</v>
      </c>
      <c r="D45">
        <v>1.694</v>
      </c>
      <c r="E45">
        <v>70.424082816563313</v>
      </c>
      <c r="F45">
        <v>8.0758462485815363E-2</v>
      </c>
      <c r="G45">
        <v>113</v>
      </c>
      <c r="H45">
        <v>43556</v>
      </c>
      <c r="I45">
        <v>43556</v>
      </c>
    </row>
    <row r="46" spans="1:9" x14ac:dyDescent="0.35">
      <c r="A46" t="str">
        <f>LSP_M4[[#This Row],[country]]&amp;" "&amp;LSP_M4[[#This Row],[cluster]]</f>
        <v>Peru 2</v>
      </c>
      <c r="B46" s="2" t="s">
        <v>20</v>
      </c>
      <c r="C46">
        <v>2</v>
      </c>
      <c r="D46">
        <v>3.3250000000000002</v>
      </c>
      <c r="E46">
        <v>15.213040608121624</v>
      </c>
      <c r="F46">
        <v>0.42570558700917743</v>
      </c>
      <c r="G46">
        <v>19</v>
      </c>
      <c r="H46">
        <v>18463</v>
      </c>
      <c r="I46">
        <v>18463</v>
      </c>
    </row>
    <row r="47" spans="1:9" x14ac:dyDescent="0.35">
      <c r="A47" t="str">
        <f>LSP_M4[[#This Row],[country]]&amp;" "&amp;LSP_M4[[#This Row],[cluster]]</f>
        <v>Peru 3</v>
      </c>
      <c r="B47" s="2" t="s">
        <v>20</v>
      </c>
      <c r="C47">
        <v>3</v>
      </c>
      <c r="D47">
        <v>11.734</v>
      </c>
      <c r="E47">
        <v>8.0116003200640122</v>
      </c>
      <c r="F47">
        <v>0.47932963671000095</v>
      </c>
      <c r="G47">
        <v>14</v>
      </c>
      <c r="H47">
        <v>34313</v>
      </c>
      <c r="I47">
        <v>34313</v>
      </c>
    </row>
    <row r="48" spans="1:9" x14ac:dyDescent="0.35">
      <c r="A48" t="str">
        <f>LSP_M4[[#This Row],[country]]&amp;" "&amp;LSP_M4[[#This Row],[cluster]]</f>
        <v>Colombia 1</v>
      </c>
      <c r="B48" s="2" t="s">
        <v>21</v>
      </c>
      <c r="C48">
        <v>1</v>
      </c>
      <c r="D48">
        <v>1.754</v>
      </c>
      <c r="E48">
        <v>67.623522704540918</v>
      </c>
      <c r="F48">
        <v>8.5651967774935445E-2</v>
      </c>
      <c r="G48">
        <v>79</v>
      </c>
      <c r="H48">
        <v>43288</v>
      </c>
      <c r="I48">
        <v>43288</v>
      </c>
    </row>
    <row r="49" spans="1:9" x14ac:dyDescent="0.35">
      <c r="A49" t="str">
        <f>LSP_M4[[#This Row],[country]]&amp;" "&amp;LSP_M4[[#This Row],[cluster]]</f>
        <v>Colombia 2</v>
      </c>
      <c r="B49" s="2" t="s">
        <v>21</v>
      </c>
      <c r="C49">
        <v>2</v>
      </c>
      <c r="D49">
        <v>3.5630000000000002</v>
      </c>
      <c r="E49">
        <v>30.416081216243256</v>
      </c>
      <c r="F49">
        <v>0.1228759705788192</v>
      </c>
      <c r="G49">
        <v>48</v>
      </c>
      <c r="H49">
        <v>39559</v>
      </c>
      <c r="I49">
        <v>39559</v>
      </c>
    </row>
    <row r="50" spans="1:9" x14ac:dyDescent="0.35">
      <c r="A50" t="str">
        <f>LSP_M4[[#This Row],[country]]&amp;" "&amp;LSP_M4[[#This Row],[cluster]]</f>
        <v>Colombia 3</v>
      </c>
      <c r="B50" s="2" t="s">
        <v>21</v>
      </c>
      <c r="C50">
        <v>3</v>
      </c>
      <c r="D50">
        <v>4.5529999999999999</v>
      </c>
      <c r="E50">
        <v>10.812160432086419</v>
      </c>
      <c r="F50">
        <v>0.43536805035872855</v>
      </c>
      <c r="G50">
        <v>15</v>
      </c>
      <c r="H50">
        <v>17970</v>
      </c>
      <c r="I50">
        <v>17970</v>
      </c>
    </row>
    <row r="51" spans="1:9" x14ac:dyDescent="0.35">
      <c r="A51" t="str">
        <f>LSP_M4[[#This Row],[country]]&amp;" "&amp;LSP_M4[[#This Row],[cluster]]</f>
        <v>Indonesia 1</v>
      </c>
      <c r="B51" s="2" t="s">
        <v>22</v>
      </c>
      <c r="C51">
        <v>1</v>
      </c>
      <c r="D51">
        <v>0.90200000000000002</v>
      </c>
      <c r="E51">
        <v>140.03800560112023</v>
      </c>
      <c r="F51">
        <v>6.8190348662782396E-2</v>
      </c>
      <c r="G51">
        <v>144</v>
      </c>
      <c r="H51">
        <v>46107</v>
      </c>
      <c r="I51">
        <v>46107</v>
      </c>
    </row>
    <row r="52" spans="1:9" x14ac:dyDescent="0.35">
      <c r="A52" t="str">
        <f>LSP_M4[[#This Row],[country]]&amp;" "&amp;LSP_M4[[#This Row],[cluster]]</f>
        <v>Indonesia 2</v>
      </c>
      <c r="B52" s="2" t="s">
        <v>22</v>
      </c>
      <c r="C52">
        <v>2</v>
      </c>
      <c r="D52">
        <v>3.6760000000000002</v>
      </c>
      <c r="E52">
        <v>26.415281056211246</v>
      </c>
      <c r="F52">
        <v>0.16941922692737485</v>
      </c>
      <c r="G52">
        <v>43</v>
      </c>
      <c r="H52">
        <v>35438</v>
      </c>
      <c r="I52">
        <v>35438</v>
      </c>
    </row>
    <row r="53" spans="1:9" x14ac:dyDescent="0.35">
      <c r="A53" t="str">
        <f>LSP_M4[[#This Row],[country]]&amp;" "&amp;LSP_M4[[#This Row],[cluster]]</f>
        <v>Indonesia 3</v>
      </c>
      <c r="B53" s="2" t="s">
        <v>22</v>
      </c>
      <c r="C53">
        <v>3</v>
      </c>
      <c r="D53">
        <v>1.75</v>
      </c>
      <c r="E53">
        <v>33.616721344268853</v>
      </c>
      <c r="F53">
        <v>0.21036365289541553</v>
      </c>
      <c r="G53">
        <v>43</v>
      </c>
      <c r="H53">
        <v>21470</v>
      </c>
      <c r="I53">
        <v>21470</v>
      </c>
    </row>
    <row r="54" spans="1:9" x14ac:dyDescent="0.35">
      <c r="A54" t="str">
        <f>LSP_M4[[#This Row],[country]]&amp;" "&amp;LSP_M4[[#This Row],[cluster]]</f>
        <v>Timor Leste 1</v>
      </c>
      <c r="B54" s="2" t="s">
        <v>23</v>
      </c>
      <c r="C54">
        <v>1</v>
      </c>
      <c r="D54">
        <v>1.4950000000000001</v>
      </c>
      <c r="E54">
        <v>80.82616323264655</v>
      </c>
      <c r="F54">
        <v>0.10207782970313753</v>
      </c>
      <c r="G54">
        <v>98</v>
      </c>
      <c r="H54">
        <v>44101</v>
      </c>
      <c r="I54">
        <v>44101</v>
      </c>
    </row>
    <row r="55" spans="1:9" x14ac:dyDescent="0.35">
      <c r="A55" t="str">
        <f>LSP_M4[[#This Row],[country]]&amp;" "&amp;LSP_M4[[#This Row],[cluster]]</f>
        <v>Australia 1</v>
      </c>
      <c r="B55" s="2" t="s">
        <v>24</v>
      </c>
      <c r="C55">
        <v>1</v>
      </c>
      <c r="D55">
        <v>2.4089999999999998</v>
      </c>
      <c r="E55">
        <v>42.018401680336069</v>
      </c>
      <c r="F55">
        <v>0.15420072806801163</v>
      </c>
      <c r="G55">
        <v>79</v>
      </c>
      <c r="H55">
        <v>36945</v>
      </c>
      <c r="I55">
        <v>36945</v>
      </c>
    </row>
    <row r="56" spans="1:9" x14ac:dyDescent="0.35">
      <c r="A56" t="str">
        <f>LSP_M4[[#This Row],[country]]&amp;" "&amp;LSP_M4[[#This Row],[cluster]]</f>
        <v>Australia 2</v>
      </c>
      <c r="B56" s="2" t="s">
        <v>24</v>
      </c>
      <c r="C56">
        <v>2</v>
      </c>
      <c r="D56">
        <v>1.907</v>
      </c>
      <c r="E56">
        <v>49.619921984396875</v>
      </c>
      <c r="F56">
        <v>0.13738773062756685</v>
      </c>
      <c r="G56">
        <v>57</v>
      </c>
      <c r="H56">
        <v>34531</v>
      </c>
      <c r="I56">
        <v>34531</v>
      </c>
    </row>
    <row r="57" spans="1:9" x14ac:dyDescent="0.35">
      <c r="A57" t="str">
        <f>LSP_M4[[#This Row],[country]]&amp;" "&amp;LSP_M4[[#This Row],[cluster]]</f>
        <v>Australia 3</v>
      </c>
      <c r="B57" s="2" t="s">
        <v>24</v>
      </c>
      <c r="C57">
        <v>3</v>
      </c>
      <c r="D57">
        <v>2.9849999999999999</v>
      </c>
      <c r="E57">
        <v>30.816161232246451</v>
      </c>
      <c r="F57">
        <v>0.16742050952656629</v>
      </c>
      <c r="G57">
        <v>56</v>
      </c>
      <c r="H57">
        <v>33576</v>
      </c>
      <c r="I57">
        <v>33576</v>
      </c>
    </row>
    <row r="58" spans="1:9" x14ac:dyDescent="0.35">
      <c r="A58" t="str">
        <f>LSP_M4[[#This Row],[country]]&amp;" "&amp;LSP_M4[[#This Row],[cluster]]</f>
        <v>New Zealand 1</v>
      </c>
      <c r="B58" s="2" t="s">
        <v>25</v>
      </c>
      <c r="C58">
        <v>1</v>
      </c>
      <c r="D58">
        <v>1.3380000000000001</v>
      </c>
      <c r="E58">
        <v>86.427283456691342</v>
      </c>
      <c r="F58">
        <v>8.2121996179013571E-2</v>
      </c>
      <c r="G58">
        <v>122</v>
      </c>
      <c r="H58">
        <v>42224</v>
      </c>
      <c r="I58">
        <v>42224</v>
      </c>
    </row>
    <row r="59" spans="1:9" x14ac:dyDescent="0.35">
      <c r="A59" t="str">
        <f>LSP_M4[[#This Row],[country]]&amp;" "&amp;LSP_M4[[#This Row],[cluster]]</f>
        <v>New Zealand 2</v>
      </c>
      <c r="B59" s="2" t="s">
        <v>25</v>
      </c>
      <c r="C59">
        <v>2</v>
      </c>
      <c r="D59">
        <v>2.4910000000000001</v>
      </c>
      <c r="E59">
        <v>43.218641728345666</v>
      </c>
      <c r="F59">
        <v>5.4520863272138044E-2</v>
      </c>
      <c r="G59">
        <v>86</v>
      </c>
      <c r="H59">
        <v>39301</v>
      </c>
      <c r="I59">
        <v>39301</v>
      </c>
    </row>
    <row r="60" spans="1:9" x14ac:dyDescent="0.35">
      <c r="A60" t="str">
        <f>LSP_M4[[#This Row],[country]]&amp;" "&amp;LSP_M4[[#This Row],[cluster]]</f>
        <v>Algeria 1</v>
      </c>
      <c r="B60" s="2" t="s">
        <v>26</v>
      </c>
      <c r="C60">
        <v>1</v>
      </c>
      <c r="D60">
        <v>3.073</v>
      </c>
      <c r="E60">
        <v>37.217441488297659</v>
      </c>
      <c r="F60">
        <v>0.17148880873235287</v>
      </c>
      <c r="G60">
        <v>49</v>
      </c>
      <c r="H60">
        <v>41747</v>
      </c>
      <c r="I60">
        <v>41747</v>
      </c>
    </row>
    <row r="61" spans="1:9" x14ac:dyDescent="0.35">
      <c r="A61" t="str">
        <f>LSP_M4[[#This Row],[country]]&amp;" "&amp;LSP_M4[[#This Row],[cluster]]</f>
        <v>Algeria 2</v>
      </c>
      <c r="B61" s="2" t="s">
        <v>26</v>
      </c>
      <c r="C61">
        <v>2</v>
      </c>
      <c r="D61">
        <v>7.306</v>
      </c>
      <c r="E61">
        <v>14.012800560112023</v>
      </c>
      <c r="F61">
        <v>0.30870037298934788</v>
      </c>
      <c r="G61">
        <v>26</v>
      </c>
      <c r="H61">
        <v>37369</v>
      </c>
      <c r="I61">
        <v>37369</v>
      </c>
    </row>
    <row r="62" spans="1:9" x14ac:dyDescent="0.35">
      <c r="A62" t="str">
        <f>LSP_M4[[#This Row],[country]]&amp;" "&amp;LSP_M4[[#This Row],[cluster]]</f>
        <v>Algeria 3</v>
      </c>
      <c r="B62" s="2" t="s">
        <v>26</v>
      </c>
      <c r="C62">
        <v>3</v>
      </c>
      <c r="D62">
        <v>9.1229999999999993</v>
      </c>
      <c r="E62">
        <v>11.21224044808962</v>
      </c>
      <c r="F62">
        <v>0.43814055198203428</v>
      </c>
      <c r="G62">
        <v>22</v>
      </c>
      <c r="H62">
        <v>37334</v>
      </c>
      <c r="I62">
        <v>37334</v>
      </c>
    </row>
    <row r="63" spans="1:9" x14ac:dyDescent="0.35">
      <c r="A63" t="str">
        <f>LSP_M4[[#This Row],[country]]&amp;" "&amp;LSP_M4[[#This Row],[cluster]]</f>
        <v>Somalia 1</v>
      </c>
      <c r="B63" s="2" t="s">
        <v>27</v>
      </c>
      <c r="C63">
        <v>1</v>
      </c>
      <c r="D63">
        <v>1.4319999999999999</v>
      </c>
      <c r="E63">
        <v>41.218241648329666</v>
      </c>
      <c r="F63">
        <v>0.10498428054993861</v>
      </c>
      <c r="G63">
        <v>57</v>
      </c>
      <c r="H63">
        <v>21539</v>
      </c>
      <c r="I63">
        <v>21539</v>
      </c>
    </row>
    <row r="64" spans="1:9" x14ac:dyDescent="0.35">
      <c r="A64" t="str">
        <f>LSP_M4[[#This Row],[country]]&amp;" "&amp;LSP_M4[[#This Row],[cluster]]</f>
        <v>Somalia 2</v>
      </c>
      <c r="B64" s="2" t="s">
        <v>27</v>
      </c>
      <c r="C64">
        <v>2</v>
      </c>
      <c r="D64">
        <v>5.5039999999999996</v>
      </c>
      <c r="E64">
        <v>18.413680736147231</v>
      </c>
      <c r="F64">
        <v>0.26409611898670649</v>
      </c>
      <c r="G64">
        <v>39</v>
      </c>
      <c r="H64">
        <v>36991</v>
      </c>
      <c r="I64">
        <v>36991</v>
      </c>
    </row>
    <row r="65" spans="1:9" x14ac:dyDescent="0.35">
      <c r="A65" t="str">
        <f>LSP_M4[[#This Row],[country]]&amp;" "&amp;LSP_M4[[#This Row],[cluster]]</f>
        <v>South Africa 1</v>
      </c>
      <c r="B65" s="2" t="s">
        <v>28</v>
      </c>
      <c r="C65">
        <v>1</v>
      </c>
      <c r="D65">
        <v>1.4970000000000001</v>
      </c>
      <c r="E65">
        <v>34.016801360272055</v>
      </c>
      <c r="F65">
        <v>0.14304861303383859</v>
      </c>
      <c r="G65">
        <v>53</v>
      </c>
      <c r="H65">
        <v>18584</v>
      </c>
      <c r="I65">
        <v>18584</v>
      </c>
    </row>
    <row r="66" spans="1:9" x14ac:dyDescent="0.35">
      <c r="A66" t="str">
        <f>LSP_M4[[#This Row],[country]]&amp;" "&amp;LSP_M4[[#This Row],[cluster]]</f>
        <v>South Africa 2</v>
      </c>
      <c r="B66" s="2" t="s">
        <v>28</v>
      </c>
      <c r="C66">
        <v>2</v>
      </c>
      <c r="D66">
        <v>2.3380000000000001</v>
      </c>
      <c r="E66">
        <v>22.414480896179239</v>
      </c>
      <c r="F66">
        <v>0.11420747582559214</v>
      </c>
      <c r="G66">
        <v>53</v>
      </c>
      <c r="H66">
        <v>19124</v>
      </c>
      <c r="I66">
        <v>19124</v>
      </c>
    </row>
    <row r="67" spans="1:9" x14ac:dyDescent="0.35">
      <c r="A67" t="str">
        <f>LSP_M4[[#This Row],[country]]&amp;" "&amp;LSP_M4[[#This Row],[cluster]]</f>
        <v>South Africa 3</v>
      </c>
      <c r="B67" s="2" t="s">
        <v>28</v>
      </c>
      <c r="C67">
        <v>3</v>
      </c>
      <c r="D67">
        <v>1.661</v>
      </c>
      <c r="E67">
        <v>30.816161232246454</v>
      </c>
      <c r="F67">
        <v>0.11450343676615275</v>
      </c>
      <c r="G67">
        <v>39</v>
      </c>
      <c r="H67">
        <v>18680</v>
      </c>
      <c r="I67">
        <v>18680</v>
      </c>
    </row>
    <row r="68" spans="1:9" x14ac:dyDescent="0.35">
      <c r="A68" t="str">
        <f>LSP_M4[[#This Row],[country]]&amp;" "&amp;LSP_M4[[#This Row],[cluster]]</f>
        <v>Saint Helena 1</v>
      </c>
      <c r="B68" s="2" t="s">
        <v>29</v>
      </c>
      <c r="C68">
        <v>1</v>
      </c>
      <c r="D68">
        <v>3.3220000000000001</v>
      </c>
      <c r="E68">
        <v>31.216241248249652</v>
      </c>
      <c r="F68">
        <v>0.18826324362158967</v>
      </c>
      <c r="G68">
        <v>58</v>
      </c>
      <c r="H68">
        <v>37845</v>
      </c>
      <c r="I68">
        <v>37845</v>
      </c>
    </row>
    <row r="69" spans="1:9" x14ac:dyDescent="0.35">
      <c r="A69" t="str">
        <f>LSP_M4[[#This Row],[country]]&amp;" "&amp;LSP_M4[[#This Row],[cluster]]</f>
        <v>Saint Helena 2</v>
      </c>
      <c r="B69" s="2" t="s">
        <v>29</v>
      </c>
      <c r="C69">
        <v>2</v>
      </c>
      <c r="D69">
        <v>4.01</v>
      </c>
      <c r="E69">
        <v>12.81256051210242</v>
      </c>
      <c r="F69">
        <v>0.16467058379622054</v>
      </c>
      <c r="G69">
        <v>13</v>
      </c>
      <c r="H69">
        <v>18751</v>
      </c>
      <c r="I69">
        <v>18751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FBFC-FEB8-447B-9C50-C8F4A514846A}">
  <dimension ref="A1:I69"/>
  <sheetViews>
    <sheetView workbookViewId="0">
      <selection activeCell="A2" sqref="A2"/>
    </sheetView>
  </sheetViews>
  <sheetFormatPr defaultRowHeight="14.5" x14ac:dyDescent="0.35"/>
  <cols>
    <col min="2" max="2" width="16.6328125" bestFit="1" customWidth="1"/>
    <col min="4" max="4" width="16.08984375" bestFit="1" customWidth="1"/>
    <col min="5" max="5" width="16.1796875" bestFit="1" customWidth="1"/>
    <col min="6" max="6" width="13.08984375" bestFit="1" customWidth="1"/>
    <col min="7" max="7" width="14.1796875" bestFit="1" customWidth="1"/>
    <col min="8" max="8" width="18.90625" bestFit="1" customWidth="1"/>
    <col min="9" max="9" width="16.81640625" bestFit="1" customWidth="1"/>
  </cols>
  <sheetData>
    <row r="1" spans="1:9" x14ac:dyDescent="0.35">
      <c r="B1" t="s">
        <v>0</v>
      </c>
      <c r="C1" t="s">
        <v>30</v>
      </c>
      <c r="D1" t="s">
        <v>37</v>
      </c>
      <c r="E1" t="s">
        <v>38</v>
      </c>
      <c r="F1" t="s">
        <v>39</v>
      </c>
      <c r="G1" t="s">
        <v>40</v>
      </c>
      <c r="H1" t="s">
        <v>36</v>
      </c>
      <c r="I1" t="s">
        <v>41</v>
      </c>
    </row>
    <row r="2" spans="1:9" x14ac:dyDescent="0.35">
      <c r="A2" t="str">
        <f>LSP_M5[[#This Row],[country]]&amp;" "&amp;LSP_M5[[#This Row],[cluster]]</f>
        <v>Japan 1</v>
      </c>
      <c r="B2" s="2" t="s">
        <v>2</v>
      </c>
      <c r="C2">
        <v>1</v>
      </c>
      <c r="D2">
        <v>0.97699999999999998</v>
      </c>
      <c r="E2">
        <v>129.23584516903381</v>
      </c>
      <c r="F2">
        <v>6.8859703131961381E-2</v>
      </c>
      <c r="G2">
        <v>144</v>
      </c>
      <c r="H2">
        <v>46080</v>
      </c>
      <c r="I2">
        <v>46080</v>
      </c>
    </row>
    <row r="3" spans="1:9" x14ac:dyDescent="0.35">
      <c r="A3" t="str">
        <f>LSP_M5[[#This Row],[country]]&amp;" "&amp;LSP_M5[[#This Row],[cluster]]</f>
        <v>Japan 2</v>
      </c>
      <c r="B3" s="2" t="s">
        <v>2</v>
      </c>
      <c r="C3">
        <v>2</v>
      </c>
      <c r="D3">
        <v>2.282</v>
      </c>
      <c r="E3">
        <v>54.820962192438493</v>
      </c>
      <c r="F3">
        <v>6.8970503273594691E-2</v>
      </c>
      <c r="G3">
        <v>130</v>
      </c>
      <c r="H3">
        <v>45665</v>
      </c>
      <c r="I3">
        <v>45665</v>
      </c>
    </row>
    <row r="4" spans="1:9" x14ac:dyDescent="0.35">
      <c r="A4" t="str">
        <f>LSP_M5[[#This Row],[country]]&amp;" "&amp;LSP_M5[[#This Row],[cluster]]</f>
        <v>Japan 3</v>
      </c>
      <c r="B4" s="2" t="s">
        <v>2</v>
      </c>
      <c r="C4">
        <v>3</v>
      </c>
      <c r="D4">
        <v>7.1989999999999998</v>
      </c>
      <c r="E4">
        <v>13.212640528105624</v>
      </c>
      <c r="F4">
        <v>0.29260269443297637</v>
      </c>
      <c r="G4">
        <v>16</v>
      </c>
      <c r="H4">
        <v>34716</v>
      </c>
      <c r="I4">
        <v>34716</v>
      </c>
    </row>
    <row r="5" spans="1:9" x14ac:dyDescent="0.35">
      <c r="A5" t="str">
        <f>LSP_M5[[#This Row],[country]]&amp;" "&amp;LSP_M5[[#This Row],[cluster]]</f>
        <v>Papua New Guinea 1</v>
      </c>
      <c r="B5" s="2" t="s">
        <v>3</v>
      </c>
      <c r="C5">
        <v>1</v>
      </c>
      <c r="D5">
        <v>1.528</v>
      </c>
      <c r="E5">
        <v>82.826563312662543</v>
      </c>
      <c r="F5">
        <v>6.9434335289068949E-2</v>
      </c>
      <c r="G5">
        <v>141</v>
      </c>
      <c r="H5">
        <v>46204</v>
      </c>
      <c r="I5">
        <v>46204</v>
      </c>
    </row>
    <row r="6" spans="1:9" x14ac:dyDescent="0.35">
      <c r="A6" t="str">
        <f>LSP_M5[[#This Row],[country]]&amp;" "&amp;LSP_M5[[#This Row],[cluster]]</f>
        <v>Papua New Guinea 2</v>
      </c>
      <c r="B6" s="2" t="s">
        <v>3</v>
      </c>
      <c r="C6">
        <v>2</v>
      </c>
      <c r="D6">
        <v>1.5820000000000001</v>
      </c>
      <c r="E6">
        <v>45.619121824364875</v>
      </c>
      <c r="F6">
        <v>0.14576774650419866</v>
      </c>
      <c r="G6">
        <v>47</v>
      </c>
      <c r="H6">
        <v>26346</v>
      </c>
      <c r="I6">
        <v>26346</v>
      </c>
    </row>
    <row r="7" spans="1:9" x14ac:dyDescent="0.35">
      <c r="A7" t="str">
        <f>LSP_M5[[#This Row],[country]]&amp;" "&amp;LSP_M5[[#This Row],[cluster]]</f>
        <v>Papua New Guinea 3</v>
      </c>
      <c r="B7" s="2" t="s">
        <v>3</v>
      </c>
      <c r="C7">
        <v>3</v>
      </c>
      <c r="D7">
        <v>4.1539999999999999</v>
      </c>
      <c r="E7">
        <v>25.215041008201641</v>
      </c>
      <c r="F7">
        <v>0.1990322859892221</v>
      </c>
      <c r="G7">
        <v>33</v>
      </c>
      <c r="H7">
        <v>38230</v>
      </c>
      <c r="I7">
        <v>38230</v>
      </c>
    </row>
    <row r="8" spans="1:9" x14ac:dyDescent="0.35">
      <c r="A8" t="str">
        <f>LSP_M5[[#This Row],[country]]&amp;" "&amp;LSP_M5[[#This Row],[cluster]]</f>
        <v>Philippines 1</v>
      </c>
      <c r="B8" s="2" t="s">
        <v>4</v>
      </c>
      <c r="C8">
        <v>1</v>
      </c>
      <c r="D8">
        <v>1.1040000000000001</v>
      </c>
      <c r="E8">
        <v>112.83256451290259</v>
      </c>
      <c r="F8">
        <v>5.0456729516893679E-2</v>
      </c>
      <c r="G8">
        <v>145</v>
      </c>
      <c r="H8">
        <v>45466</v>
      </c>
      <c r="I8">
        <v>45466</v>
      </c>
    </row>
    <row r="9" spans="1:9" x14ac:dyDescent="0.35">
      <c r="A9" t="str">
        <f>LSP_M5[[#This Row],[country]]&amp;" "&amp;LSP_M5[[#This Row],[cluster]]</f>
        <v>Philippines 2</v>
      </c>
      <c r="B9" s="2" t="s">
        <v>4</v>
      </c>
      <c r="C9">
        <v>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tr">
        <f>LSP_M5[[#This Row],[country]]&amp;" "&amp;LSP_M5[[#This Row],[cluster]]</f>
        <v>Tonga 1</v>
      </c>
      <c r="B10" s="2" t="s">
        <v>5</v>
      </c>
      <c r="C10">
        <v>1</v>
      </c>
      <c r="D10">
        <v>1.004</v>
      </c>
      <c r="E10">
        <v>122.8345649129826</v>
      </c>
      <c r="F10">
        <v>6.1804044073520963E-2</v>
      </c>
      <c r="G10">
        <v>130</v>
      </c>
      <c r="H10">
        <v>45005</v>
      </c>
      <c r="I10">
        <v>45005</v>
      </c>
    </row>
    <row r="11" spans="1:9" x14ac:dyDescent="0.35">
      <c r="A11" t="str">
        <f>LSP_M5[[#This Row],[country]]&amp;" "&amp;LSP_M5[[#This Row],[cluster]]</f>
        <v>USA 1</v>
      </c>
      <c r="B11" s="2" t="s">
        <v>6</v>
      </c>
      <c r="C11">
        <v>1</v>
      </c>
      <c r="D11">
        <v>1.802</v>
      </c>
      <c r="E11">
        <v>69.62392278455691</v>
      </c>
      <c r="F11">
        <v>6.3434978642400427E-2</v>
      </c>
      <c r="G11">
        <v>141</v>
      </c>
      <c r="H11">
        <v>45802</v>
      </c>
      <c r="I11">
        <v>45802</v>
      </c>
    </row>
    <row r="12" spans="1:9" x14ac:dyDescent="0.35">
      <c r="A12" t="str">
        <f>LSP_M5[[#This Row],[country]]&amp;" "&amp;LSP_M5[[#This Row],[cluster]]</f>
        <v>USA 2</v>
      </c>
      <c r="B12" s="2" t="s">
        <v>6</v>
      </c>
      <c r="C12">
        <v>2</v>
      </c>
      <c r="D12">
        <v>1.35</v>
      </c>
      <c r="E12">
        <v>92.82856371274255</v>
      </c>
      <c r="F12">
        <v>9.0271668599793395E-2</v>
      </c>
      <c r="G12">
        <v>125</v>
      </c>
      <c r="H12">
        <v>45748</v>
      </c>
      <c r="I12">
        <v>45748</v>
      </c>
    </row>
    <row r="13" spans="1:9" x14ac:dyDescent="0.35">
      <c r="A13" t="str">
        <f>LSP_M5[[#This Row],[country]]&amp;" "&amp;LSP_M5[[#This Row],[cluster]]</f>
        <v>USA 3</v>
      </c>
      <c r="B13" s="2" t="s">
        <v>6</v>
      </c>
      <c r="C13">
        <v>3</v>
      </c>
      <c r="D13">
        <v>1.9670000000000001</v>
      </c>
      <c r="E13">
        <v>62.422482496499306</v>
      </c>
      <c r="F13">
        <v>0.10440159035151766</v>
      </c>
      <c r="G13">
        <v>74</v>
      </c>
      <c r="H13">
        <v>44821</v>
      </c>
      <c r="I13">
        <v>44821</v>
      </c>
    </row>
    <row r="14" spans="1:9" x14ac:dyDescent="0.35">
      <c r="A14" t="str">
        <f>LSP_M5[[#This Row],[country]]&amp;" "&amp;LSP_M5[[#This Row],[cluster]]</f>
        <v>Mexico 1</v>
      </c>
      <c r="B14" s="2" t="s">
        <v>7</v>
      </c>
      <c r="C14">
        <v>1</v>
      </c>
      <c r="D14">
        <v>1.4790000000000001</v>
      </c>
      <c r="E14">
        <v>85.227043408681737</v>
      </c>
      <c r="F14">
        <v>6.4883403967860173E-2</v>
      </c>
      <c r="G14">
        <v>127</v>
      </c>
      <c r="H14">
        <v>46003</v>
      </c>
      <c r="I14">
        <v>46003</v>
      </c>
    </row>
    <row r="15" spans="1:9" x14ac:dyDescent="0.35">
      <c r="A15" t="str">
        <f>LSP_M5[[#This Row],[country]]&amp;" "&amp;LSP_M5[[#This Row],[cluster]]</f>
        <v>Mexico 2</v>
      </c>
      <c r="B15" s="2" t="s">
        <v>7</v>
      </c>
      <c r="C15">
        <v>2</v>
      </c>
      <c r="D15">
        <v>1.216</v>
      </c>
      <c r="E15">
        <v>101.63032406481297</v>
      </c>
      <c r="F15">
        <v>0.10611082580884143</v>
      </c>
      <c r="G15">
        <v>111</v>
      </c>
      <c r="H15">
        <v>45126</v>
      </c>
      <c r="I15">
        <v>45126</v>
      </c>
    </row>
    <row r="16" spans="1:9" x14ac:dyDescent="0.35">
      <c r="A16" t="str">
        <f>LSP_M5[[#This Row],[country]]&amp;" "&amp;LSP_M5[[#This Row],[cluster]]</f>
        <v>Mexico 3</v>
      </c>
      <c r="B16" s="2" t="s">
        <v>7</v>
      </c>
      <c r="C16">
        <v>3</v>
      </c>
      <c r="D16">
        <v>3.5910000000000002</v>
      </c>
      <c r="E16">
        <v>27.215441088217649</v>
      </c>
      <c r="F16">
        <v>0.16693909189190467</v>
      </c>
      <c r="G16">
        <v>50</v>
      </c>
      <c r="H16">
        <v>35672</v>
      </c>
      <c r="I16">
        <v>35672</v>
      </c>
    </row>
    <row r="17" spans="1:9" x14ac:dyDescent="0.35">
      <c r="A17" t="str">
        <f>LSP_M5[[#This Row],[country]]&amp;" "&amp;LSP_M5[[#This Row],[cluster]]</f>
        <v>Canada 1</v>
      </c>
      <c r="B17" s="2" t="s">
        <v>8</v>
      </c>
      <c r="C17">
        <v>1</v>
      </c>
      <c r="D17">
        <v>2.661</v>
      </c>
      <c r="E17">
        <v>42.818561712342465</v>
      </c>
      <c r="F17">
        <v>6.7724405977025323E-2</v>
      </c>
      <c r="G17">
        <v>92</v>
      </c>
      <c r="H17">
        <v>41587</v>
      </c>
      <c r="I17">
        <v>41587</v>
      </c>
    </row>
    <row r="18" spans="1:9" x14ac:dyDescent="0.35">
      <c r="A18" t="str">
        <f>LSP_M5[[#This Row],[country]]&amp;" "&amp;LSP_M5[[#This Row],[cluster]]</f>
        <v>Canada 2</v>
      </c>
      <c r="B18" s="2" t="s">
        <v>8</v>
      </c>
      <c r="C18">
        <v>2</v>
      </c>
      <c r="D18">
        <v>7.1769999999999996</v>
      </c>
      <c r="E18">
        <v>10.812160432086417</v>
      </c>
      <c r="F18">
        <v>0.27265574511862706</v>
      </c>
      <c r="G18">
        <v>18</v>
      </c>
      <c r="H18">
        <v>28324</v>
      </c>
      <c r="I18">
        <v>28324</v>
      </c>
    </row>
    <row r="19" spans="1:9" x14ac:dyDescent="0.35">
      <c r="A19" t="str">
        <f>LSP_M5[[#This Row],[country]]&amp;" "&amp;LSP_M5[[#This Row],[cluster]]</f>
        <v>Canada 3</v>
      </c>
      <c r="B19" s="2" t="s">
        <v>8</v>
      </c>
      <c r="C19">
        <v>3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tr">
        <f>LSP_M5[[#This Row],[country]]&amp;" "&amp;LSP_M5[[#This Row],[cluster]]</f>
        <v>Guatemala 1</v>
      </c>
      <c r="B20" s="2" t="s">
        <v>9</v>
      </c>
      <c r="C20">
        <v>1</v>
      </c>
      <c r="D20">
        <v>1.3440000000000001</v>
      </c>
      <c r="E20">
        <v>92.428483696739349</v>
      </c>
      <c r="F20">
        <v>0.10210368997664616</v>
      </c>
      <c r="G20">
        <v>100</v>
      </c>
      <c r="H20">
        <v>45355</v>
      </c>
      <c r="I20">
        <v>45355</v>
      </c>
    </row>
    <row r="21" spans="1:9" x14ac:dyDescent="0.35">
      <c r="A21" t="str">
        <f>LSP_M5[[#This Row],[country]]&amp;" "&amp;LSP_M5[[#This Row],[cluster]]</f>
        <v>Guatemala 2</v>
      </c>
      <c r="B21" s="2" t="s">
        <v>9</v>
      </c>
      <c r="C21">
        <v>2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tr">
        <f>LSP_M5[[#This Row],[country]]&amp;" "&amp;LSP_M5[[#This Row],[cluster]]</f>
        <v>Russia 1</v>
      </c>
      <c r="B22" s="2" t="s">
        <v>10</v>
      </c>
      <c r="C22">
        <v>1</v>
      </c>
      <c r="D22">
        <v>1.069</v>
      </c>
      <c r="E22">
        <v>117.23344468893779</v>
      </c>
      <c r="F22">
        <v>6.9269810221069414E-2</v>
      </c>
      <c r="G22">
        <v>150</v>
      </c>
      <c r="H22">
        <v>45731</v>
      </c>
      <c r="I22">
        <v>45731</v>
      </c>
    </row>
    <row r="23" spans="1:9" x14ac:dyDescent="0.35">
      <c r="A23" t="str">
        <f>LSP_M5[[#This Row],[country]]&amp;" "&amp;LSP_M5[[#This Row],[cluster]]</f>
        <v>Russia 2</v>
      </c>
      <c r="B23" s="2" t="s">
        <v>10</v>
      </c>
      <c r="C23">
        <v>2</v>
      </c>
      <c r="D23">
        <v>2.0720000000000001</v>
      </c>
      <c r="E23">
        <v>60.822162432486493</v>
      </c>
      <c r="F23">
        <v>0.1523100152699233</v>
      </c>
      <c r="G23">
        <v>66</v>
      </c>
      <c r="H23">
        <v>46002</v>
      </c>
      <c r="I23">
        <v>46002</v>
      </c>
    </row>
    <row r="24" spans="1:9" x14ac:dyDescent="0.35">
      <c r="A24" t="str">
        <f>LSP_M5[[#This Row],[country]]&amp;" "&amp;LSP_M5[[#This Row],[cluster]]</f>
        <v>Russia 3</v>
      </c>
      <c r="B24" s="2" t="s">
        <v>10</v>
      </c>
      <c r="C24">
        <v>3</v>
      </c>
      <c r="D24">
        <v>3.5169999999999999</v>
      </c>
      <c r="E24">
        <v>34.016801360272055</v>
      </c>
      <c r="F24">
        <v>0.19902629112682729</v>
      </c>
      <c r="G24">
        <v>38</v>
      </c>
      <c r="H24">
        <v>43665</v>
      </c>
      <c r="I24">
        <v>43665</v>
      </c>
    </row>
    <row r="25" spans="1:9" x14ac:dyDescent="0.35">
      <c r="A25" t="str">
        <f>LSP_M5[[#This Row],[country]]&amp;" "&amp;LSP_M5[[#This Row],[cluster]]</f>
        <v>China 1</v>
      </c>
      <c r="B25" s="2" t="s">
        <v>11</v>
      </c>
      <c r="C25">
        <v>1</v>
      </c>
      <c r="D25">
        <v>2.6579999999999999</v>
      </c>
      <c r="E25">
        <v>46.419281856371271</v>
      </c>
      <c r="F25">
        <v>9.2386355514537916E-2</v>
      </c>
      <c r="G25">
        <v>102</v>
      </c>
      <c r="H25">
        <v>45030</v>
      </c>
      <c r="I25">
        <v>45030</v>
      </c>
    </row>
    <row r="26" spans="1:9" x14ac:dyDescent="0.35">
      <c r="A26" t="str">
        <f>LSP_M5[[#This Row],[country]]&amp;" "&amp;LSP_M5[[#This Row],[cluster]]</f>
        <v>China 2</v>
      </c>
      <c r="B26" s="2" t="s">
        <v>11</v>
      </c>
      <c r="C26">
        <v>2</v>
      </c>
      <c r="D26">
        <v>1.8660000000000001</v>
      </c>
      <c r="E26">
        <v>58.421682336467292</v>
      </c>
      <c r="F26">
        <v>0.10121733045656318</v>
      </c>
      <c r="G26">
        <v>68</v>
      </c>
      <c r="H26">
        <v>39787</v>
      </c>
      <c r="I26">
        <v>39787</v>
      </c>
    </row>
    <row r="27" spans="1:9" x14ac:dyDescent="0.35">
      <c r="A27" t="str">
        <f>LSP_M5[[#This Row],[country]]&amp;" "&amp;LSP_M5[[#This Row],[cluster]]</f>
        <v>China 3</v>
      </c>
      <c r="B27" s="2" t="s">
        <v>11</v>
      </c>
      <c r="C27">
        <v>3</v>
      </c>
      <c r="D27">
        <v>1.8320000000000001</v>
      </c>
      <c r="E27">
        <v>55.221042208441688</v>
      </c>
      <c r="F27">
        <v>0.14544980194925794</v>
      </c>
      <c r="G27">
        <v>62</v>
      </c>
      <c r="H27">
        <v>36934</v>
      </c>
      <c r="I27">
        <v>36934</v>
      </c>
    </row>
    <row r="28" spans="1:9" x14ac:dyDescent="0.35">
      <c r="A28" t="str">
        <f>LSP_M5[[#This Row],[country]]&amp;" "&amp;LSP_M5[[#This Row],[cluster]]</f>
        <v>India 1</v>
      </c>
      <c r="B28" s="2" t="s">
        <v>12</v>
      </c>
      <c r="C28">
        <v>1</v>
      </c>
      <c r="D28">
        <v>1.224</v>
      </c>
      <c r="E28">
        <v>98.029603920784169</v>
      </c>
      <c r="F28">
        <v>8.4336018361985912E-2</v>
      </c>
      <c r="G28">
        <v>102</v>
      </c>
      <c r="H28">
        <v>43801</v>
      </c>
      <c r="I28">
        <v>43801</v>
      </c>
    </row>
    <row r="29" spans="1:9" x14ac:dyDescent="0.35">
      <c r="A29" t="str">
        <f>LSP_M5[[#This Row],[country]]&amp;" "&amp;LSP_M5[[#This Row],[cluster]]</f>
        <v>India 2</v>
      </c>
      <c r="B29" s="2" t="s">
        <v>12</v>
      </c>
      <c r="C29">
        <v>2</v>
      </c>
      <c r="D29">
        <v>1.7929999999999999</v>
      </c>
      <c r="E29">
        <v>66.423282656531313</v>
      </c>
      <c r="F29">
        <v>7.3470497877207969E-2</v>
      </c>
      <c r="G29">
        <v>103</v>
      </c>
      <c r="H29">
        <v>43479</v>
      </c>
      <c r="I29">
        <v>43479</v>
      </c>
    </row>
    <row r="30" spans="1:9" x14ac:dyDescent="0.35">
      <c r="A30" t="str">
        <f>LSP_M5[[#This Row],[country]]&amp;" "&amp;LSP_M5[[#This Row],[cluster]]</f>
        <v>India 3</v>
      </c>
      <c r="B30" s="2" t="s">
        <v>12</v>
      </c>
      <c r="C30">
        <v>3</v>
      </c>
      <c r="D30">
        <v>1.6739999999999999</v>
      </c>
      <c r="E30">
        <v>72.42448289657932</v>
      </c>
      <c r="F30">
        <v>9.9726729880534937E-2</v>
      </c>
      <c r="G30">
        <v>78</v>
      </c>
      <c r="H30">
        <v>44257</v>
      </c>
      <c r="I30">
        <v>44257</v>
      </c>
    </row>
    <row r="31" spans="1:9" x14ac:dyDescent="0.35">
      <c r="A31" t="str">
        <f>LSP_M5[[#This Row],[country]]&amp;" "&amp;LSP_M5[[#This Row],[cluster]]</f>
        <v>Iran 1</v>
      </c>
      <c r="B31" s="2" t="s">
        <v>13</v>
      </c>
      <c r="C31">
        <v>1</v>
      </c>
      <c r="D31">
        <v>1.585</v>
      </c>
      <c r="E31">
        <v>76.425283056611335</v>
      </c>
      <c r="F31">
        <v>8.6415213770003496E-2</v>
      </c>
      <c r="G31">
        <v>115</v>
      </c>
      <c r="H31">
        <v>44209</v>
      </c>
      <c r="I31">
        <v>44209</v>
      </c>
    </row>
    <row r="32" spans="1:9" x14ac:dyDescent="0.35">
      <c r="A32" t="str">
        <f>LSP_M5[[#This Row],[country]]&amp;" "&amp;LSP_M5[[#This Row],[cluster]]</f>
        <v>Iran 2</v>
      </c>
      <c r="B32" s="2" t="s">
        <v>13</v>
      </c>
      <c r="C32">
        <v>2</v>
      </c>
      <c r="D32">
        <v>1.944</v>
      </c>
      <c r="E32">
        <v>52.420482096419285</v>
      </c>
      <c r="F32">
        <v>0.19843608959852407</v>
      </c>
      <c r="G32">
        <v>56</v>
      </c>
      <c r="H32">
        <v>37196</v>
      </c>
      <c r="I32">
        <v>37196</v>
      </c>
    </row>
    <row r="33" spans="1:9" x14ac:dyDescent="0.35">
      <c r="A33" t="str">
        <f>LSP_M5[[#This Row],[country]]&amp;" "&amp;LSP_M5[[#This Row],[cluster]]</f>
        <v>Iran 3</v>
      </c>
      <c r="B33" s="2" t="s">
        <v>13</v>
      </c>
      <c r="C33">
        <v>3</v>
      </c>
      <c r="D33">
        <v>3.6059999999999999</v>
      </c>
      <c r="E33">
        <v>31.616321264252857</v>
      </c>
      <c r="F33">
        <v>0.11514871950298837</v>
      </c>
      <c r="G33">
        <v>41</v>
      </c>
      <c r="H33">
        <v>41614</v>
      </c>
      <c r="I33">
        <v>41614</v>
      </c>
    </row>
    <row r="34" spans="1:9" x14ac:dyDescent="0.35">
      <c r="A34" t="str">
        <f>LSP_M5[[#This Row],[country]]&amp;" "&amp;LSP_M5[[#This Row],[cluster]]</f>
        <v>Nicaragua 1</v>
      </c>
      <c r="B34" s="2" t="s">
        <v>14</v>
      </c>
      <c r="C34">
        <v>1</v>
      </c>
      <c r="D34">
        <v>1.4339999999999999</v>
      </c>
      <c r="E34">
        <v>86.827363472694543</v>
      </c>
      <c r="F34">
        <v>8.80201222002997E-2</v>
      </c>
      <c r="G34">
        <v>102</v>
      </c>
      <c r="H34">
        <v>45460</v>
      </c>
      <c r="I34">
        <v>45460</v>
      </c>
    </row>
    <row r="35" spans="1:9" x14ac:dyDescent="0.35">
      <c r="A35" t="str">
        <f>LSP_M5[[#This Row],[country]]&amp;" "&amp;LSP_M5[[#This Row],[cluster]]</f>
        <v>El Salvador 1</v>
      </c>
      <c r="B35" s="2" t="s">
        <v>15</v>
      </c>
      <c r="C35">
        <v>1</v>
      </c>
      <c r="D35">
        <v>2.2549999999999999</v>
      </c>
      <c r="E35">
        <v>55.621122224444889</v>
      </c>
      <c r="F35">
        <v>7.1638631743798295E-2</v>
      </c>
      <c r="G35">
        <v>90</v>
      </c>
      <c r="H35">
        <v>45771</v>
      </c>
      <c r="I35">
        <v>45771</v>
      </c>
    </row>
    <row r="36" spans="1:9" x14ac:dyDescent="0.35">
      <c r="A36" t="str">
        <f>LSP_M5[[#This Row],[country]]&amp;" "&amp;LSP_M5[[#This Row],[cluster]]</f>
        <v>Costa Rica 1</v>
      </c>
      <c r="B36" s="2" t="s">
        <v>16</v>
      </c>
      <c r="C36">
        <v>1</v>
      </c>
      <c r="D36">
        <v>2.09</v>
      </c>
      <c r="E36">
        <v>60.022002400480098</v>
      </c>
      <c r="F36">
        <v>7.3372289066432284E-2</v>
      </c>
      <c r="G36">
        <v>98</v>
      </c>
      <c r="H36">
        <v>45779</v>
      </c>
      <c r="I36">
        <v>45779</v>
      </c>
    </row>
    <row r="37" spans="1:9" x14ac:dyDescent="0.35">
      <c r="A37" t="str">
        <f>LSP_M5[[#This Row],[country]]&amp;" "&amp;LSP_M5[[#This Row],[cluster]]</f>
        <v>Dominican 1</v>
      </c>
      <c r="B37" s="2" t="s">
        <v>17</v>
      </c>
      <c r="C37">
        <v>1</v>
      </c>
      <c r="D37">
        <v>2.2629999999999999</v>
      </c>
      <c r="E37">
        <v>49.219841968393681</v>
      </c>
      <c r="F37">
        <v>7.3807298595704771E-2</v>
      </c>
      <c r="G37">
        <v>73</v>
      </c>
      <c r="H37">
        <v>40659</v>
      </c>
      <c r="I37">
        <v>40659</v>
      </c>
    </row>
    <row r="38" spans="1:9" x14ac:dyDescent="0.35">
      <c r="A38" t="str">
        <f>LSP_M5[[#This Row],[country]]&amp;" "&amp;LSP_M5[[#This Row],[cluster]]</f>
        <v>Dominican 2</v>
      </c>
      <c r="B38" s="2" t="s">
        <v>17</v>
      </c>
      <c r="C38">
        <v>2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5">
      <c r="A39" t="str">
        <f>LSP_M5[[#This Row],[country]]&amp;" "&amp;LSP_M5[[#This Row],[cluster]]</f>
        <v>Chile 1</v>
      </c>
      <c r="B39" s="2" t="s">
        <v>18</v>
      </c>
      <c r="C39">
        <v>1</v>
      </c>
      <c r="D39">
        <v>1.0149999999999999</v>
      </c>
      <c r="E39">
        <v>120.43408481696341</v>
      </c>
      <c r="F39">
        <v>0.1030590082880689</v>
      </c>
      <c r="G39">
        <v>130</v>
      </c>
      <c r="H39">
        <v>44627</v>
      </c>
      <c r="I39">
        <v>44627</v>
      </c>
    </row>
    <row r="40" spans="1:9" x14ac:dyDescent="0.35">
      <c r="A40" t="str">
        <f>LSP_M5[[#This Row],[country]]&amp;" "&amp;LSP_M5[[#This Row],[cluster]]</f>
        <v>Chile 2</v>
      </c>
      <c r="B40" s="2" t="s">
        <v>18</v>
      </c>
      <c r="C40">
        <v>2</v>
      </c>
      <c r="D40">
        <v>1.661</v>
      </c>
      <c r="E40">
        <v>55.221042208441688</v>
      </c>
      <c r="F40">
        <v>9.7074185561445647E-2</v>
      </c>
      <c r="G40">
        <v>80</v>
      </c>
      <c r="H40">
        <v>33487</v>
      </c>
      <c r="I40">
        <v>33487</v>
      </c>
    </row>
    <row r="41" spans="1:9" x14ac:dyDescent="0.35">
      <c r="A41" t="str">
        <f>LSP_M5[[#This Row],[country]]&amp;" "&amp;LSP_M5[[#This Row],[cluster]]</f>
        <v>Chile 3</v>
      </c>
      <c r="B41" s="2" t="s">
        <v>18</v>
      </c>
      <c r="C41">
        <v>3</v>
      </c>
      <c r="D41">
        <v>3.194</v>
      </c>
      <c r="E41">
        <v>31.216241248249656</v>
      </c>
      <c r="F41">
        <v>6.839510702205559E-2</v>
      </c>
      <c r="G41">
        <v>68</v>
      </c>
      <c r="H41">
        <v>36395</v>
      </c>
      <c r="I41">
        <v>36395</v>
      </c>
    </row>
    <row r="42" spans="1:9" x14ac:dyDescent="0.35">
      <c r="A42" t="str">
        <f>LSP_M5[[#This Row],[country]]&amp;" "&amp;LSP_M5[[#This Row],[cluster]]</f>
        <v>Argentina 1</v>
      </c>
      <c r="B42" s="2" t="s">
        <v>19</v>
      </c>
      <c r="C42">
        <v>1</v>
      </c>
      <c r="D42">
        <v>1.8009999999999999</v>
      </c>
      <c r="E42">
        <v>58.821762352470493</v>
      </c>
      <c r="F42">
        <v>0.1478674715389654</v>
      </c>
      <c r="G42">
        <v>78</v>
      </c>
      <c r="H42">
        <v>38657</v>
      </c>
      <c r="I42">
        <v>38657</v>
      </c>
    </row>
    <row r="43" spans="1:9" x14ac:dyDescent="0.35">
      <c r="A43" t="str">
        <f>LSP_M5[[#This Row],[country]]&amp;" "&amp;LSP_M5[[#This Row],[cluster]]</f>
        <v>Argentina 2</v>
      </c>
      <c r="B43" s="2" t="s">
        <v>19</v>
      </c>
      <c r="C43">
        <v>2</v>
      </c>
      <c r="D43">
        <v>2.8570000000000002</v>
      </c>
      <c r="E43">
        <v>34.816961392278451</v>
      </c>
      <c r="F43">
        <v>0.13632763589570046</v>
      </c>
      <c r="G43">
        <v>70</v>
      </c>
      <c r="H43">
        <v>36305</v>
      </c>
      <c r="I43">
        <v>36305</v>
      </c>
    </row>
    <row r="44" spans="1:9" x14ac:dyDescent="0.35">
      <c r="A44" t="str">
        <f>LSP_M5[[#This Row],[country]]&amp;" "&amp;LSP_M5[[#This Row],[cluster]]</f>
        <v>Argentina 3</v>
      </c>
      <c r="B44" s="2" t="s">
        <v>19</v>
      </c>
      <c r="C44">
        <v>3</v>
      </c>
      <c r="D44">
        <v>2.766</v>
      </c>
      <c r="E44">
        <v>40.818161632326465</v>
      </c>
      <c r="F44">
        <v>9.8673455165225035E-2</v>
      </c>
      <c r="G44">
        <v>50</v>
      </c>
      <c r="H44">
        <v>41207</v>
      </c>
      <c r="I44">
        <v>41207</v>
      </c>
    </row>
    <row r="45" spans="1:9" x14ac:dyDescent="0.35">
      <c r="A45" t="str">
        <f>LSP_M5[[#This Row],[country]]&amp;" "&amp;LSP_M5[[#This Row],[cluster]]</f>
        <v>Peru 1</v>
      </c>
      <c r="B45" s="2" t="s">
        <v>20</v>
      </c>
      <c r="C45">
        <v>1</v>
      </c>
      <c r="D45">
        <v>1.694</v>
      </c>
      <c r="E45">
        <v>70.424082816563313</v>
      </c>
      <c r="F45">
        <v>8.0758462485815363E-2</v>
      </c>
      <c r="G45">
        <v>113</v>
      </c>
      <c r="H45">
        <v>43556</v>
      </c>
      <c r="I45">
        <v>43556</v>
      </c>
    </row>
    <row r="46" spans="1:9" x14ac:dyDescent="0.35">
      <c r="A46" t="str">
        <f>LSP_M5[[#This Row],[country]]&amp;" "&amp;LSP_M5[[#This Row],[cluster]]</f>
        <v>Peru 2</v>
      </c>
      <c r="B46" s="2" t="s">
        <v>20</v>
      </c>
      <c r="C46">
        <v>2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5">
      <c r="A47" t="str">
        <f>LSP_M5[[#This Row],[country]]&amp;" "&amp;LSP_M5[[#This Row],[cluster]]</f>
        <v>Peru 3</v>
      </c>
      <c r="B47" s="2" t="s">
        <v>20</v>
      </c>
      <c r="C47">
        <v>3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5">
      <c r="A48" t="str">
        <f>LSP_M5[[#This Row],[country]]&amp;" "&amp;LSP_M5[[#This Row],[cluster]]</f>
        <v>Colombia 1</v>
      </c>
      <c r="B48" s="2" t="s">
        <v>21</v>
      </c>
      <c r="C48">
        <v>1</v>
      </c>
      <c r="D48">
        <v>1.754</v>
      </c>
      <c r="E48">
        <v>67.623522704540918</v>
      </c>
      <c r="F48">
        <v>8.5651967774935445E-2</v>
      </c>
      <c r="G48">
        <v>79</v>
      </c>
      <c r="H48">
        <v>43288</v>
      </c>
      <c r="I48">
        <v>43288</v>
      </c>
    </row>
    <row r="49" spans="1:9" x14ac:dyDescent="0.35">
      <c r="A49" t="str">
        <f>LSP_M5[[#This Row],[country]]&amp;" "&amp;LSP_M5[[#This Row],[cluster]]</f>
        <v>Colombia 2</v>
      </c>
      <c r="B49" s="2" t="s">
        <v>21</v>
      </c>
      <c r="C49">
        <v>2</v>
      </c>
      <c r="D49">
        <v>4.9889999999999999</v>
      </c>
      <c r="E49">
        <v>21.614320864172839</v>
      </c>
      <c r="F49">
        <v>0.10936623152284942</v>
      </c>
      <c r="G49">
        <v>29</v>
      </c>
      <c r="H49">
        <v>39363</v>
      </c>
      <c r="I49">
        <v>39363</v>
      </c>
    </row>
    <row r="50" spans="1:9" x14ac:dyDescent="0.35">
      <c r="A50" t="str">
        <f>LSP_M5[[#This Row],[country]]&amp;" "&amp;LSP_M5[[#This Row],[cluster]]</f>
        <v>Colombia 3</v>
      </c>
      <c r="B50" s="2" t="s">
        <v>21</v>
      </c>
      <c r="C50">
        <v>3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5">
      <c r="A51" t="str">
        <f>LSP_M5[[#This Row],[country]]&amp;" "&amp;LSP_M5[[#This Row],[cluster]]</f>
        <v>Indonesia 1</v>
      </c>
      <c r="B51" s="2" t="s">
        <v>22</v>
      </c>
      <c r="C51">
        <v>1</v>
      </c>
      <c r="D51">
        <v>0.90200000000000002</v>
      </c>
      <c r="E51">
        <v>140.03800560112023</v>
      </c>
      <c r="F51">
        <v>6.8190348662782396E-2</v>
      </c>
      <c r="G51">
        <v>144</v>
      </c>
      <c r="H51">
        <v>46107</v>
      </c>
      <c r="I51">
        <v>46107</v>
      </c>
    </row>
    <row r="52" spans="1:9" x14ac:dyDescent="0.35">
      <c r="A52" t="str">
        <f>LSP_M5[[#This Row],[country]]&amp;" "&amp;LSP_M5[[#This Row],[cluster]]</f>
        <v>Indonesia 2</v>
      </c>
      <c r="B52" s="2" t="s">
        <v>22</v>
      </c>
      <c r="C52">
        <v>2</v>
      </c>
      <c r="D52">
        <v>4.665</v>
      </c>
      <c r="E52">
        <v>20.814160832166436</v>
      </c>
      <c r="F52">
        <v>0.20975828594506785</v>
      </c>
      <c r="G52">
        <v>32</v>
      </c>
      <c r="H52">
        <v>35438</v>
      </c>
      <c r="I52">
        <v>35438</v>
      </c>
    </row>
    <row r="53" spans="1:9" x14ac:dyDescent="0.35">
      <c r="A53" t="str">
        <f>LSP_M5[[#This Row],[country]]&amp;" "&amp;LSP_M5[[#This Row],[cluster]]</f>
        <v>Indonesia 3</v>
      </c>
      <c r="B53" s="2" t="s">
        <v>22</v>
      </c>
      <c r="C53">
        <v>3</v>
      </c>
      <c r="D53">
        <v>1.875</v>
      </c>
      <c r="E53">
        <v>30.416081216243249</v>
      </c>
      <c r="F53">
        <v>0.30316051211748019</v>
      </c>
      <c r="G53">
        <v>31</v>
      </c>
      <c r="H53">
        <v>20818</v>
      </c>
      <c r="I53">
        <v>20818</v>
      </c>
    </row>
    <row r="54" spans="1:9" x14ac:dyDescent="0.35">
      <c r="A54" t="str">
        <f>LSP_M5[[#This Row],[country]]&amp;" "&amp;LSP_M5[[#This Row],[cluster]]</f>
        <v>Timor Leste 1</v>
      </c>
      <c r="B54" s="2" t="s">
        <v>23</v>
      </c>
      <c r="C54">
        <v>1</v>
      </c>
      <c r="D54">
        <v>1.4950000000000001</v>
      </c>
      <c r="E54">
        <v>80.82616323264655</v>
      </c>
      <c r="F54">
        <v>0.10207782970313753</v>
      </c>
      <c r="G54">
        <v>98</v>
      </c>
      <c r="H54">
        <v>44101</v>
      </c>
      <c r="I54">
        <v>44101</v>
      </c>
    </row>
    <row r="55" spans="1:9" x14ac:dyDescent="0.35">
      <c r="A55" t="str">
        <f>LSP_M5[[#This Row],[country]]&amp;" "&amp;LSP_M5[[#This Row],[cluster]]</f>
        <v>Australia 1</v>
      </c>
      <c r="B55" s="2" t="s">
        <v>24</v>
      </c>
      <c r="C55">
        <v>1</v>
      </c>
      <c r="D55">
        <v>2.4089999999999998</v>
      </c>
      <c r="E55">
        <v>42.018401680336069</v>
      </c>
      <c r="F55">
        <v>8.9938444611869714E-2</v>
      </c>
      <c r="G55">
        <v>75</v>
      </c>
      <c r="H55">
        <v>36945</v>
      </c>
      <c r="I55">
        <v>36945</v>
      </c>
    </row>
    <row r="56" spans="1:9" x14ac:dyDescent="0.35">
      <c r="A56" t="str">
        <f>LSP_M5[[#This Row],[country]]&amp;" "&amp;LSP_M5[[#This Row],[cluster]]</f>
        <v>Australia 2</v>
      </c>
      <c r="B56" s="2" t="s">
        <v>24</v>
      </c>
      <c r="C56">
        <v>2</v>
      </c>
      <c r="D56">
        <v>2.2949999999999999</v>
      </c>
      <c r="E56">
        <v>41.218241648329666</v>
      </c>
      <c r="F56">
        <v>9.727888385658387E-2</v>
      </c>
      <c r="G56">
        <v>48</v>
      </c>
      <c r="H56">
        <v>34531</v>
      </c>
      <c r="I56">
        <v>34531</v>
      </c>
    </row>
    <row r="57" spans="1:9" x14ac:dyDescent="0.35">
      <c r="A57" t="str">
        <f>LSP_M5[[#This Row],[country]]&amp;" "&amp;LSP_M5[[#This Row],[cluster]]</f>
        <v>Australia 3</v>
      </c>
      <c r="B57" s="2" t="s">
        <v>24</v>
      </c>
      <c r="C57">
        <v>3</v>
      </c>
      <c r="D57">
        <v>2.3410000000000002</v>
      </c>
      <c r="E57">
        <v>38.817761552310465</v>
      </c>
      <c r="F57">
        <v>0.1843541683979521</v>
      </c>
      <c r="G57">
        <v>43</v>
      </c>
      <c r="H57">
        <v>33162</v>
      </c>
      <c r="I57">
        <v>33162</v>
      </c>
    </row>
    <row r="58" spans="1:9" x14ac:dyDescent="0.35">
      <c r="A58" t="str">
        <f>LSP_M5[[#This Row],[country]]&amp;" "&amp;LSP_M5[[#This Row],[cluster]]</f>
        <v>New Zealand 1</v>
      </c>
      <c r="B58" s="2" t="s">
        <v>25</v>
      </c>
      <c r="C58">
        <v>1</v>
      </c>
      <c r="D58">
        <v>1.3380000000000001</v>
      </c>
      <c r="E58">
        <v>86.427283456691342</v>
      </c>
      <c r="F58">
        <v>8.2121996179013571E-2</v>
      </c>
      <c r="G58">
        <v>122</v>
      </c>
      <c r="H58">
        <v>42224</v>
      </c>
      <c r="I58">
        <v>42224</v>
      </c>
    </row>
    <row r="59" spans="1:9" x14ac:dyDescent="0.35">
      <c r="A59" t="str">
        <f>LSP_M5[[#This Row],[country]]&amp;" "&amp;LSP_M5[[#This Row],[cluster]]</f>
        <v>New Zealand 2</v>
      </c>
      <c r="B59" s="2" t="s">
        <v>25</v>
      </c>
      <c r="C59">
        <v>2</v>
      </c>
      <c r="D59">
        <v>2.4460000000000002</v>
      </c>
      <c r="E59">
        <v>44.018801760352069</v>
      </c>
      <c r="F59">
        <v>7.972905308423367E-2</v>
      </c>
      <c r="G59">
        <v>81</v>
      </c>
      <c r="H59">
        <v>39301</v>
      </c>
      <c r="I59">
        <v>39301</v>
      </c>
    </row>
    <row r="60" spans="1:9" x14ac:dyDescent="0.35">
      <c r="A60" t="str">
        <f>LSP_M5[[#This Row],[country]]&amp;" "&amp;LSP_M5[[#This Row],[cluster]]</f>
        <v>Algeria 1</v>
      </c>
      <c r="B60" s="2" t="s">
        <v>26</v>
      </c>
      <c r="C60">
        <v>1</v>
      </c>
      <c r="D60">
        <v>4.532</v>
      </c>
      <c r="E60">
        <v>24.81496099219844</v>
      </c>
      <c r="F60">
        <v>0.25414027006072032</v>
      </c>
      <c r="G60">
        <v>25</v>
      </c>
      <c r="H60">
        <v>41049</v>
      </c>
      <c r="I60">
        <v>41049</v>
      </c>
    </row>
    <row r="61" spans="1:9" x14ac:dyDescent="0.35">
      <c r="A61" t="str">
        <f>LSP_M5[[#This Row],[country]]&amp;" "&amp;LSP_M5[[#This Row],[cluster]]</f>
        <v>Algeria 2</v>
      </c>
      <c r="B61" s="2" t="s">
        <v>26</v>
      </c>
      <c r="C61">
        <v>2</v>
      </c>
      <c r="D61">
        <v>13.451000000000001</v>
      </c>
      <c r="E61">
        <v>7.6115203040608117</v>
      </c>
      <c r="F61">
        <v>0.36611290846413402</v>
      </c>
      <c r="G61">
        <v>15</v>
      </c>
      <c r="H61">
        <v>37369</v>
      </c>
      <c r="I61">
        <v>37369</v>
      </c>
    </row>
    <row r="62" spans="1:9" x14ac:dyDescent="0.35">
      <c r="A62" t="str">
        <f>LSP_M5[[#This Row],[country]]&amp;" "&amp;LSP_M5[[#This Row],[cluster]]</f>
        <v>Algeria 3</v>
      </c>
      <c r="B62" s="2" t="s">
        <v>26</v>
      </c>
      <c r="C62">
        <v>3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5">
      <c r="A63" t="str">
        <f>LSP_M5[[#This Row],[country]]&amp;" "&amp;LSP_M5[[#This Row],[cluster]]</f>
        <v>Somalia 1</v>
      </c>
      <c r="B63" s="2" t="s">
        <v>27</v>
      </c>
      <c r="C63">
        <v>1</v>
      </c>
      <c r="D63">
        <v>2.077</v>
      </c>
      <c r="E63">
        <v>28.415681136227246</v>
      </c>
      <c r="F63">
        <v>0.16912196096858237</v>
      </c>
      <c r="G63">
        <v>39</v>
      </c>
      <c r="H63">
        <v>21539</v>
      </c>
      <c r="I63">
        <v>21539</v>
      </c>
    </row>
    <row r="64" spans="1:9" x14ac:dyDescent="0.35">
      <c r="A64" t="str">
        <f>LSP_M5[[#This Row],[country]]&amp;" "&amp;LSP_M5[[#This Row],[cluster]]</f>
        <v>Somalia 2</v>
      </c>
      <c r="B64" s="2" t="s">
        <v>27</v>
      </c>
      <c r="C64">
        <v>2</v>
      </c>
      <c r="D64">
        <v>5.3869999999999996</v>
      </c>
      <c r="E64">
        <v>18.813760752150433</v>
      </c>
      <c r="F64">
        <v>0.13892512860199854</v>
      </c>
      <c r="G64">
        <v>26</v>
      </c>
      <c r="H64">
        <v>36991</v>
      </c>
      <c r="I64">
        <v>36991</v>
      </c>
    </row>
    <row r="65" spans="1:9" x14ac:dyDescent="0.35">
      <c r="A65" t="str">
        <f>LSP_M5[[#This Row],[country]]&amp;" "&amp;LSP_M5[[#This Row],[cluster]]</f>
        <v>South Africa 1</v>
      </c>
      <c r="B65" s="2" t="s">
        <v>28</v>
      </c>
      <c r="C65">
        <v>1</v>
      </c>
      <c r="D65">
        <v>7.3360000000000003</v>
      </c>
      <c r="E65">
        <v>6.8113602720544106</v>
      </c>
      <c r="F65">
        <v>0.40144659274558586</v>
      </c>
      <c r="G65">
        <v>17</v>
      </c>
      <c r="H65">
        <v>18238</v>
      </c>
      <c r="I65">
        <v>18238</v>
      </c>
    </row>
    <row r="66" spans="1:9" x14ac:dyDescent="0.35">
      <c r="A66" t="str">
        <f>LSP_M5[[#This Row],[country]]&amp;" "&amp;LSP_M5[[#This Row],[cluster]]</f>
        <v>South Africa 2</v>
      </c>
      <c r="B66" s="2" t="s">
        <v>28</v>
      </c>
      <c r="C66">
        <v>2</v>
      </c>
      <c r="D66">
        <v>2.577</v>
      </c>
      <c r="E66">
        <v>20.014000800160034</v>
      </c>
      <c r="F66">
        <v>0.2361403327037867</v>
      </c>
      <c r="G66">
        <v>40</v>
      </c>
      <c r="H66">
        <v>18827</v>
      </c>
      <c r="I66">
        <v>18827</v>
      </c>
    </row>
    <row r="67" spans="1:9" x14ac:dyDescent="0.35">
      <c r="A67" t="str">
        <f>LSP_M5[[#This Row],[country]]&amp;" "&amp;LSP_M5[[#This Row],[cluster]]</f>
        <v>South Africa 3</v>
      </c>
      <c r="B67" s="2" t="s">
        <v>28</v>
      </c>
      <c r="C67">
        <v>3</v>
      </c>
      <c r="D67">
        <v>2.8769999999999998</v>
      </c>
      <c r="E67">
        <v>16.013200640128026</v>
      </c>
      <c r="F67">
        <v>0.45528080086018019</v>
      </c>
      <c r="G67">
        <v>23</v>
      </c>
      <c r="H67">
        <v>16814</v>
      </c>
      <c r="I67">
        <v>16814</v>
      </c>
    </row>
    <row r="68" spans="1:9" x14ac:dyDescent="0.35">
      <c r="A68" t="str">
        <f>LSP_M5[[#This Row],[country]]&amp;" "&amp;LSP_M5[[#This Row],[cluster]]</f>
        <v>Saint Helena 1</v>
      </c>
      <c r="B68" s="2" t="s">
        <v>29</v>
      </c>
      <c r="C68">
        <v>1</v>
      </c>
      <c r="D68">
        <v>3.3220000000000001</v>
      </c>
      <c r="E68">
        <v>31.216241248249652</v>
      </c>
      <c r="F68">
        <v>0.18394086211585278</v>
      </c>
      <c r="G68">
        <v>53</v>
      </c>
      <c r="H68">
        <v>37845</v>
      </c>
      <c r="I68">
        <v>37845</v>
      </c>
    </row>
    <row r="69" spans="1:9" x14ac:dyDescent="0.35">
      <c r="A69" t="str">
        <f>LSP_M5[[#This Row],[country]]&amp;" "&amp;LSP_M5[[#This Row],[cluster]]</f>
        <v>Saint Helena 2</v>
      </c>
      <c r="B69" s="2" t="s">
        <v>29</v>
      </c>
      <c r="C69">
        <v>2</v>
      </c>
      <c r="D69">
        <v>7.5419999999999998</v>
      </c>
      <c r="E69">
        <v>6.8113602720544106</v>
      </c>
      <c r="F69">
        <v>0.21539435033302518</v>
      </c>
      <c r="G69">
        <v>12</v>
      </c>
      <c r="H69">
        <v>18751</v>
      </c>
      <c r="I69">
        <v>18751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755C-8025-4C4C-9CFA-5FE279EAA4C3}">
  <dimension ref="A1:I62"/>
  <sheetViews>
    <sheetView workbookViewId="0">
      <selection activeCell="A2" sqref="A2"/>
    </sheetView>
  </sheetViews>
  <sheetFormatPr defaultRowHeight="14.5" x14ac:dyDescent="0.35"/>
  <cols>
    <col min="2" max="2" width="16.6328125" bestFit="1" customWidth="1"/>
    <col min="4" max="4" width="16.08984375" bestFit="1" customWidth="1"/>
    <col min="5" max="5" width="16.1796875" bestFit="1" customWidth="1"/>
    <col min="6" max="6" width="13.08984375" bestFit="1" customWidth="1"/>
    <col min="7" max="7" width="14.1796875" bestFit="1" customWidth="1"/>
    <col min="8" max="8" width="18.90625" bestFit="1" customWidth="1"/>
    <col min="9" max="9" width="16.81640625" bestFit="1" customWidth="1"/>
  </cols>
  <sheetData>
    <row r="1" spans="1:9" x14ac:dyDescent="0.35">
      <c r="B1" t="s">
        <v>0</v>
      </c>
      <c r="C1" t="s">
        <v>30</v>
      </c>
      <c r="D1" t="s">
        <v>37</v>
      </c>
      <c r="E1" t="s">
        <v>38</v>
      </c>
      <c r="F1" t="s">
        <v>39</v>
      </c>
      <c r="G1" t="s">
        <v>40</v>
      </c>
      <c r="H1" t="s">
        <v>36</v>
      </c>
      <c r="I1" t="s">
        <v>41</v>
      </c>
    </row>
    <row r="2" spans="1:9" x14ac:dyDescent="0.35">
      <c r="A2" t="str">
        <f>LSP_M6[[#This Row],[country]]&amp;" "&amp;LSP_M6[[#This Row],[cluster]]</f>
        <v>Japan 1</v>
      </c>
      <c r="B2" s="2" t="s">
        <v>2</v>
      </c>
      <c r="C2">
        <v>1</v>
      </c>
      <c r="D2">
        <v>0.97499999999999998</v>
      </c>
      <c r="E2">
        <v>128.83576515303059</v>
      </c>
      <c r="F2">
        <v>7.7680252799369354E-2</v>
      </c>
      <c r="G2">
        <v>141</v>
      </c>
      <c r="H2">
        <v>45867</v>
      </c>
      <c r="I2">
        <v>45867</v>
      </c>
    </row>
    <row r="3" spans="1:9" x14ac:dyDescent="0.35">
      <c r="A3" t="str">
        <f>LSP_M6[[#This Row],[country]]&amp;" "&amp;LSP_M6[[#This Row],[cluster]]</f>
        <v>Japan 2</v>
      </c>
      <c r="B3" s="2" t="s">
        <v>2</v>
      </c>
      <c r="C3">
        <v>2</v>
      </c>
      <c r="D3">
        <v>1.5029999999999999</v>
      </c>
      <c r="E3">
        <v>83.226643328665745</v>
      </c>
      <c r="F3">
        <v>5.537190931120211E-2</v>
      </c>
      <c r="G3">
        <v>115</v>
      </c>
      <c r="H3">
        <v>45665</v>
      </c>
      <c r="I3">
        <v>45665</v>
      </c>
    </row>
    <row r="4" spans="1:9" x14ac:dyDescent="0.35">
      <c r="A4" t="str">
        <f>LSP_M6[[#This Row],[country]]&amp;" "&amp;LSP_M6[[#This Row],[cluster]]</f>
        <v>Japan 3</v>
      </c>
      <c r="B4" s="2" t="s">
        <v>2</v>
      </c>
      <c r="C4">
        <v>3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tr">
        <f>LSP_M6[[#This Row],[country]]&amp;" "&amp;LSP_M6[[#This Row],[cluster]]</f>
        <v>Papua New Guinea 1</v>
      </c>
      <c r="B5" s="2" t="s">
        <v>3</v>
      </c>
      <c r="C5">
        <v>1</v>
      </c>
      <c r="D5">
        <v>1.528</v>
      </c>
      <c r="E5">
        <v>82.826563312662543</v>
      </c>
      <c r="F5">
        <v>6.9434335289068949E-2</v>
      </c>
      <c r="G5">
        <v>141</v>
      </c>
      <c r="H5">
        <v>46204</v>
      </c>
      <c r="I5">
        <v>46204</v>
      </c>
    </row>
    <row r="6" spans="1:9" x14ac:dyDescent="0.35">
      <c r="A6" t="str">
        <f>LSP_M6[[#This Row],[country]]&amp;" "&amp;LSP_M6[[#This Row],[cluster]]</f>
        <v>Papua New Guinea 2</v>
      </c>
      <c r="B6" s="2" t="s">
        <v>3</v>
      </c>
      <c r="C6">
        <v>2</v>
      </c>
      <c r="D6">
        <v>11.667999999999999</v>
      </c>
      <c r="E6">
        <v>5.611120224044809</v>
      </c>
      <c r="F6">
        <v>0.5173118929283016</v>
      </c>
      <c r="G6">
        <v>12</v>
      </c>
      <c r="H6">
        <v>23897</v>
      </c>
      <c r="I6">
        <v>23897</v>
      </c>
    </row>
    <row r="7" spans="1:9" x14ac:dyDescent="0.35">
      <c r="A7" t="str">
        <f>LSP_M6[[#This Row],[country]]&amp;" "&amp;LSP_M6[[#This Row],[cluster]]</f>
        <v>Papua New Guinea 3</v>
      </c>
      <c r="B7" s="2" t="s">
        <v>3</v>
      </c>
      <c r="C7">
        <v>3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tr">
        <f>LSP_M6[[#This Row],[country]]&amp;" "&amp;LSP_M6[[#This Row],[cluster]]</f>
        <v>Philippines 1</v>
      </c>
      <c r="B8" s="2" t="s">
        <v>4</v>
      </c>
      <c r="C8">
        <v>1</v>
      </c>
      <c r="D8">
        <v>2.1920000000000002</v>
      </c>
      <c r="E8">
        <v>56.821362272454486</v>
      </c>
      <c r="F8">
        <v>6.1676908871313614E-2</v>
      </c>
      <c r="G8">
        <v>139</v>
      </c>
      <c r="H8">
        <v>45466</v>
      </c>
      <c r="I8">
        <v>45466</v>
      </c>
    </row>
    <row r="9" spans="1:9" x14ac:dyDescent="0.35">
      <c r="A9" t="str">
        <f>LSP_M6[[#This Row],[country]]&amp;" "&amp;LSP_M6[[#This Row],[cluster]]</f>
        <v>Tonga 1</v>
      </c>
      <c r="B9" s="2" t="s">
        <v>5</v>
      </c>
      <c r="C9">
        <v>1</v>
      </c>
      <c r="D9">
        <v>1.004</v>
      </c>
      <c r="E9">
        <v>122.8345649129826</v>
      </c>
      <c r="F9">
        <v>7.8492029818433132E-2</v>
      </c>
      <c r="G9">
        <v>125</v>
      </c>
      <c r="H9">
        <v>45005</v>
      </c>
      <c r="I9">
        <v>45005</v>
      </c>
    </row>
    <row r="10" spans="1:9" x14ac:dyDescent="0.35">
      <c r="A10" t="str">
        <f>LSP_M6[[#This Row],[country]]&amp;" "&amp;LSP_M6[[#This Row],[cluster]]</f>
        <v>USA 1</v>
      </c>
      <c r="B10" s="2" t="s">
        <v>6</v>
      </c>
      <c r="C10">
        <v>1</v>
      </c>
      <c r="D10">
        <v>1.792</v>
      </c>
      <c r="E10">
        <v>70.024002800560112</v>
      </c>
      <c r="F10">
        <v>6.9670185782080257E-2</v>
      </c>
      <c r="G10">
        <v>139</v>
      </c>
      <c r="H10">
        <v>45802</v>
      </c>
      <c r="I10">
        <v>45802</v>
      </c>
    </row>
    <row r="11" spans="1:9" x14ac:dyDescent="0.35">
      <c r="A11" t="str">
        <f>LSP_M6[[#This Row],[country]]&amp;" "&amp;LSP_M6[[#This Row],[cluster]]</f>
        <v>USA 2</v>
      </c>
      <c r="B11" s="2" t="s">
        <v>6</v>
      </c>
      <c r="C11">
        <v>2</v>
      </c>
      <c r="D11">
        <v>2.8660000000000001</v>
      </c>
      <c r="E11">
        <v>43.218641728345666</v>
      </c>
      <c r="F11">
        <v>0.10108869051283018</v>
      </c>
      <c r="G11">
        <v>60</v>
      </c>
      <c r="H11">
        <v>45203</v>
      </c>
      <c r="I11">
        <v>45203</v>
      </c>
    </row>
    <row r="12" spans="1:9" x14ac:dyDescent="0.35">
      <c r="A12" t="str">
        <f>LSP_M6[[#This Row],[country]]&amp;" "&amp;LSP_M6[[#This Row],[cluster]]</f>
        <v>USA 3</v>
      </c>
      <c r="B12" s="2" t="s">
        <v>6</v>
      </c>
      <c r="C12">
        <v>3</v>
      </c>
      <c r="D12">
        <v>4.5650000000000004</v>
      </c>
      <c r="E12">
        <v>24.81496099219844</v>
      </c>
      <c r="F12">
        <v>0.23297315344845684</v>
      </c>
      <c r="G12">
        <v>25</v>
      </c>
      <c r="H12">
        <v>41351</v>
      </c>
      <c r="I12">
        <v>41351</v>
      </c>
    </row>
    <row r="13" spans="1:9" x14ac:dyDescent="0.35">
      <c r="A13" t="str">
        <f>LSP_M6[[#This Row],[country]]&amp;" "&amp;LSP_M6[[#This Row],[cluster]]</f>
        <v>Mexico 1</v>
      </c>
      <c r="B13" s="2" t="s">
        <v>7</v>
      </c>
      <c r="C13">
        <v>1</v>
      </c>
      <c r="D13">
        <v>1.472</v>
      </c>
      <c r="E13">
        <v>85.627123424684939</v>
      </c>
      <c r="F13">
        <v>7.3344503877848369E-2</v>
      </c>
      <c r="G13">
        <v>110</v>
      </c>
      <c r="H13">
        <v>46003</v>
      </c>
      <c r="I13">
        <v>46003</v>
      </c>
    </row>
    <row r="14" spans="1:9" x14ac:dyDescent="0.35">
      <c r="A14" t="str">
        <f>LSP_M6[[#This Row],[country]]&amp;" "&amp;LSP_M6[[#This Row],[cluster]]</f>
        <v>Mexico 2</v>
      </c>
      <c r="B14" s="2" t="s">
        <v>7</v>
      </c>
      <c r="C14">
        <v>2</v>
      </c>
      <c r="D14">
        <v>2.734</v>
      </c>
      <c r="E14">
        <v>45.219041808361673</v>
      </c>
      <c r="F14">
        <v>8.6188431209457683E-2</v>
      </c>
      <c r="G14">
        <v>69</v>
      </c>
      <c r="H14">
        <v>45126</v>
      </c>
      <c r="I14">
        <v>45126</v>
      </c>
    </row>
    <row r="15" spans="1:9" x14ac:dyDescent="0.35">
      <c r="A15" t="str">
        <f>LSP_M6[[#This Row],[country]]&amp;" "&amp;LSP_M6[[#This Row],[cluster]]</f>
        <v>Mexico 3</v>
      </c>
      <c r="B15" s="2" t="s">
        <v>7</v>
      </c>
      <c r="C15">
        <v>3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tr">
        <f>LSP_M6[[#This Row],[country]]&amp;" "&amp;LSP_M6[[#This Row],[cluster]]</f>
        <v>Canada 1</v>
      </c>
      <c r="B16" s="2" t="s">
        <v>8</v>
      </c>
      <c r="C16">
        <v>1</v>
      </c>
      <c r="D16">
        <v>3.5590000000000002</v>
      </c>
      <c r="E16">
        <v>32.016401280256048</v>
      </c>
      <c r="F16">
        <v>0.11283282359849051</v>
      </c>
      <c r="G16">
        <v>61</v>
      </c>
      <c r="H16">
        <v>41587</v>
      </c>
      <c r="I16">
        <v>41587</v>
      </c>
    </row>
    <row r="17" spans="1:9" x14ac:dyDescent="0.35">
      <c r="A17" t="str">
        <f>LSP_M6[[#This Row],[country]]&amp;" "&amp;LSP_M6[[#This Row],[cluster]]</f>
        <v>Canada 2</v>
      </c>
      <c r="B17" s="2" t="s">
        <v>8</v>
      </c>
      <c r="C17">
        <v>2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tr">
        <f>LSP_M6[[#This Row],[country]]&amp;" "&amp;LSP_M6[[#This Row],[cluster]]</f>
        <v>Canada 3</v>
      </c>
      <c r="B18" s="2" t="s">
        <v>8</v>
      </c>
      <c r="C18">
        <v>3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tr">
        <f>LSP_M6[[#This Row],[country]]&amp;" "&amp;LSP_M6[[#This Row],[cluster]]</f>
        <v>Guatemala 1</v>
      </c>
      <c r="B19" s="2" t="s">
        <v>9</v>
      </c>
      <c r="C19">
        <v>1</v>
      </c>
      <c r="D19">
        <v>2.73</v>
      </c>
      <c r="E19">
        <v>44.818961792358479</v>
      </c>
      <c r="F19">
        <v>0.17939263952411993</v>
      </c>
      <c r="G19">
        <v>50</v>
      </c>
      <c r="H19">
        <v>44654</v>
      </c>
      <c r="I19">
        <v>44654</v>
      </c>
    </row>
    <row r="20" spans="1:9" x14ac:dyDescent="0.35">
      <c r="A20" t="str">
        <f>LSP_M6[[#This Row],[country]]&amp;" "&amp;LSP_M6[[#This Row],[cluster]]</f>
        <v>Guatemala 2</v>
      </c>
      <c r="B20" s="2" t="s">
        <v>9</v>
      </c>
      <c r="C20">
        <v>2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tr">
        <f>LSP_M6[[#This Row],[country]]&amp;" "&amp;LSP_M6[[#This Row],[cluster]]</f>
        <v>Russia 1</v>
      </c>
      <c r="B21" s="2" t="s">
        <v>10</v>
      </c>
      <c r="C21">
        <v>1</v>
      </c>
      <c r="D21">
        <v>1.069</v>
      </c>
      <c r="E21">
        <v>117.23344468893779</v>
      </c>
      <c r="F21">
        <v>6.5989541888776759E-2</v>
      </c>
      <c r="G21">
        <v>146</v>
      </c>
      <c r="H21">
        <v>45731</v>
      </c>
      <c r="I21">
        <v>45731</v>
      </c>
    </row>
    <row r="22" spans="1:9" x14ac:dyDescent="0.35">
      <c r="A22" t="str">
        <f>LSP_M6[[#This Row],[country]]&amp;" "&amp;LSP_M6[[#This Row],[cluster]]</f>
        <v>Russia 2</v>
      </c>
      <c r="B22" s="2" t="s">
        <v>10</v>
      </c>
      <c r="C22">
        <v>2</v>
      </c>
      <c r="D22">
        <v>22.207000000000001</v>
      </c>
      <c r="E22">
        <v>5.6111202240448099</v>
      </c>
      <c r="F22">
        <v>0.5998580814753135</v>
      </c>
      <c r="G22">
        <v>13</v>
      </c>
      <c r="H22">
        <v>45482</v>
      </c>
      <c r="I22">
        <v>45482</v>
      </c>
    </row>
    <row r="23" spans="1:9" x14ac:dyDescent="0.35">
      <c r="A23" t="str">
        <f>LSP_M6[[#This Row],[country]]&amp;" "&amp;LSP_M6[[#This Row],[cluster]]</f>
        <v>Russia 3</v>
      </c>
      <c r="B23" s="2" t="s">
        <v>10</v>
      </c>
      <c r="C23">
        <v>3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tr">
        <f>LSP_M6[[#This Row],[country]]&amp;" "&amp;LSP_M6[[#This Row],[cluster]]</f>
        <v>China 1</v>
      </c>
      <c r="B24" s="2" t="s">
        <v>11</v>
      </c>
      <c r="C24">
        <v>1</v>
      </c>
      <c r="D24">
        <v>3.0059999999999998</v>
      </c>
      <c r="E24">
        <v>40.418081616323263</v>
      </c>
      <c r="F24">
        <v>0.17126932277463461</v>
      </c>
      <c r="G24">
        <v>44</v>
      </c>
      <c r="H24">
        <v>44348</v>
      </c>
      <c r="I24">
        <v>44348</v>
      </c>
    </row>
    <row r="25" spans="1:9" x14ac:dyDescent="0.35">
      <c r="A25" t="str">
        <f>LSP_M6[[#This Row],[country]]&amp;" "&amp;LSP_M6[[#This Row],[cluster]]</f>
        <v>China 2</v>
      </c>
      <c r="B25" s="2" t="s">
        <v>11</v>
      </c>
      <c r="C25">
        <v>2</v>
      </c>
      <c r="D25">
        <v>9.0570000000000004</v>
      </c>
      <c r="E25">
        <v>11.61232046409282</v>
      </c>
      <c r="F25">
        <v>0.61492702527546939</v>
      </c>
      <c r="G25">
        <v>15</v>
      </c>
      <c r="H25">
        <v>38388</v>
      </c>
      <c r="I25">
        <v>38388</v>
      </c>
    </row>
    <row r="26" spans="1:9" x14ac:dyDescent="0.35">
      <c r="A26" t="str">
        <f>LSP_M6[[#This Row],[country]]&amp;" "&amp;LSP_M6[[#This Row],[cluster]]</f>
        <v>China 3</v>
      </c>
      <c r="B26" s="2" t="s">
        <v>11</v>
      </c>
      <c r="C26">
        <v>3</v>
      </c>
      <c r="D26">
        <v>8.9019999999999992</v>
      </c>
      <c r="E26">
        <v>10.812160432086417</v>
      </c>
      <c r="F26">
        <v>0.37701039855219109</v>
      </c>
      <c r="G26">
        <v>16</v>
      </c>
      <c r="H26">
        <v>35130</v>
      </c>
      <c r="I26">
        <v>35130</v>
      </c>
    </row>
    <row r="27" spans="1:9" x14ac:dyDescent="0.35">
      <c r="A27" t="str">
        <f>LSP_M6[[#This Row],[country]]&amp;" "&amp;LSP_M6[[#This Row],[cluster]]</f>
        <v>India 1</v>
      </c>
      <c r="B27" s="2" t="s">
        <v>12</v>
      </c>
      <c r="C27">
        <v>1</v>
      </c>
      <c r="D27">
        <v>3.4249999999999998</v>
      </c>
      <c r="E27">
        <v>32.016401280256048</v>
      </c>
      <c r="F27">
        <v>0.18276773456279971</v>
      </c>
      <c r="G27">
        <v>42</v>
      </c>
      <c r="H27">
        <v>40025</v>
      </c>
      <c r="I27">
        <v>40025</v>
      </c>
    </row>
    <row r="28" spans="1:9" x14ac:dyDescent="0.35">
      <c r="A28" t="str">
        <f>LSP_M6[[#This Row],[country]]&amp;" "&amp;LSP_M6[[#This Row],[cluster]]</f>
        <v>India 2</v>
      </c>
      <c r="B28" s="2" t="s">
        <v>12</v>
      </c>
      <c r="C28">
        <v>2</v>
      </c>
      <c r="D28">
        <v>5.9720000000000004</v>
      </c>
      <c r="E28">
        <v>19.213840768153634</v>
      </c>
      <c r="F28">
        <v>0.26895300568463926</v>
      </c>
      <c r="G28">
        <v>33</v>
      </c>
      <c r="H28">
        <v>41879</v>
      </c>
      <c r="I28">
        <v>41879</v>
      </c>
    </row>
    <row r="29" spans="1:9" x14ac:dyDescent="0.35">
      <c r="A29" t="str">
        <f>LSP_M6[[#This Row],[country]]&amp;" "&amp;LSP_M6[[#This Row],[cluster]]</f>
        <v>India 3</v>
      </c>
      <c r="B29" s="2" t="s">
        <v>12</v>
      </c>
      <c r="C29">
        <v>3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5">
      <c r="A30" t="str">
        <f>LSP_M6[[#This Row],[country]]&amp;" "&amp;LSP_M6[[#This Row],[cluster]]</f>
        <v>Iran 1</v>
      </c>
      <c r="B30" s="2" t="s">
        <v>13</v>
      </c>
      <c r="C30">
        <v>1</v>
      </c>
      <c r="D30">
        <v>4.1959999999999997</v>
      </c>
      <c r="E30">
        <v>28.015601120224048</v>
      </c>
      <c r="F30">
        <v>0.14533265888849176</v>
      </c>
      <c r="G30">
        <v>39</v>
      </c>
      <c r="H30">
        <v>42907</v>
      </c>
      <c r="I30">
        <v>42907</v>
      </c>
    </row>
    <row r="31" spans="1:9" x14ac:dyDescent="0.35">
      <c r="A31" t="str">
        <f>LSP_M6[[#This Row],[country]]&amp;" "&amp;LSP_M6[[#This Row],[cluster]]</f>
        <v>Iran 2</v>
      </c>
      <c r="B31" s="2" t="s">
        <v>13</v>
      </c>
      <c r="C31">
        <v>2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5">
      <c r="A32" t="str">
        <f>LSP_M6[[#This Row],[country]]&amp;" "&amp;LSP_M6[[#This Row],[cluster]]</f>
        <v>Iran 3</v>
      </c>
      <c r="B32" s="2" t="s">
        <v>13</v>
      </c>
      <c r="C32">
        <v>3</v>
      </c>
      <c r="D32">
        <v>10.657</v>
      </c>
      <c r="E32">
        <v>10.012000400080018</v>
      </c>
      <c r="F32">
        <v>0.64119043477673443</v>
      </c>
      <c r="G32">
        <v>10</v>
      </c>
      <c r="H32">
        <v>38944</v>
      </c>
      <c r="I32">
        <v>38944</v>
      </c>
    </row>
    <row r="33" spans="1:9" x14ac:dyDescent="0.35">
      <c r="A33" t="str">
        <f>LSP_M6[[#This Row],[country]]&amp;" "&amp;LSP_M6[[#This Row],[cluster]]</f>
        <v>Nicaragua 1</v>
      </c>
      <c r="B33" s="2" t="s">
        <v>14</v>
      </c>
      <c r="C33">
        <v>1</v>
      </c>
      <c r="D33">
        <v>5.6859999999999999</v>
      </c>
      <c r="E33">
        <v>21.214240848169634</v>
      </c>
      <c r="F33">
        <v>0.15077543615617706</v>
      </c>
      <c r="G33">
        <v>53</v>
      </c>
      <c r="H33">
        <v>44025</v>
      </c>
      <c r="I33">
        <v>44025</v>
      </c>
    </row>
    <row r="34" spans="1:9" x14ac:dyDescent="0.35">
      <c r="A34" t="str">
        <f>LSP_M6[[#This Row],[country]]&amp;" "&amp;LSP_M6[[#This Row],[cluster]]</f>
        <v>El Salvador 1</v>
      </c>
      <c r="B34" s="2" t="s">
        <v>15</v>
      </c>
      <c r="C34">
        <v>1</v>
      </c>
      <c r="D34">
        <v>7.09</v>
      </c>
      <c r="E34">
        <v>17.613520704140829</v>
      </c>
      <c r="F34">
        <v>0.27504797575412776</v>
      </c>
      <c r="G34">
        <v>35</v>
      </c>
      <c r="H34">
        <v>45578</v>
      </c>
      <c r="I34">
        <v>45578</v>
      </c>
    </row>
    <row r="35" spans="1:9" x14ac:dyDescent="0.35">
      <c r="A35" t="str">
        <f>LSP_M6[[#This Row],[country]]&amp;" "&amp;LSP_M6[[#This Row],[cluster]]</f>
        <v>Costa Rica 1</v>
      </c>
      <c r="B35" s="2" t="s">
        <v>16</v>
      </c>
      <c r="C35">
        <v>1</v>
      </c>
      <c r="D35">
        <v>6.0940000000000003</v>
      </c>
      <c r="E35">
        <v>20.414080816163235</v>
      </c>
      <c r="F35">
        <v>0.2015022554469986</v>
      </c>
      <c r="G35">
        <v>45</v>
      </c>
      <c r="H35">
        <v>45404</v>
      </c>
      <c r="I35">
        <v>45404</v>
      </c>
    </row>
    <row r="36" spans="1:9" x14ac:dyDescent="0.35">
      <c r="A36" t="str">
        <f>LSP_M6[[#This Row],[country]]&amp;" "&amp;LSP_M6[[#This Row],[cluster]]</f>
        <v>Dominican 1</v>
      </c>
      <c r="B36" s="2" t="s">
        <v>17</v>
      </c>
      <c r="C36">
        <v>1</v>
      </c>
      <c r="D36">
        <v>4.867</v>
      </c>
      <c r="E36">
        <v>18.413680736147231</v>
      </c>
      <c r="F36">
        <v>0.20092712128295026</v>
      </c>
      <c r="G36">
        <v>22</v>
      </c>
      <c r="H36">
        <v>32713</v>
      </c>
      <c r="I36">
        <v>32713</v>
      </c>
    </row>
    <row r="37" spans="1:9" x14ac:dyDescent="0.35">
      <c r="A37" t="str">
        <f>LSP_M6[[#This Row],[country]]&amp;" "&amp;LSP_M6[[#This Row],[cluster]]</f>
        <v>Chile 1</v>
      </c>
      <c r="B37" s="2" t="s">
        <v>18</v>
      </c>
      <c r="C37">
        <v>1</v>
      </c>
      <c r="D37">
        <v>1.012</v>
      </c>
      <c r="E37">
        <v>120.83416483296659</v>
      </c>
      <c r="F37">
        <v>0.12147767972571925</v>
      </c>
      <c r="G37">
        <v>123</v>
      </c>
      <c r="H37">
        <v>44627</v>
      </c>
      <c r="I37">
        <v>44627</v>
      </c>
    </row>
    <row r="38" spans="1:9" x14ac:dyDescent="0.35">
      <c r="A38" t="str">
        <f>LSP_M6[[#This Row],[country]]&amp;" "&amp;LSP_M6[[#This Row],[cluster]]</f>
        <v>Chile 2</v>
      </c>
      <c r="B38" s="2" t="s">
        <v>18</v>
      </c>
      <c r="C38">
        <v>2</v>
      </c>
      <c r="D38">
        <v>4.1399999999999997</v>
      </c>
      <c r="E38">
        <v>21.614320864172836</v>
      </c>
      <c r="F38">
        <v>0.17320662163501052</v>
      </c>
      <c r="G38">
        <v>38</v>
      </c>
      <c r="H38">
        <v>32664</v>
      </c>
      <c r="I38">
        <v>32664</v>
      </c>
    </row>
    <row r="39" spans="1:9" x14ac:dyDescent="0.35">
      <c r="A39" t="str">
        <f>LSP_M6[[#This Row],[country]]&amp;" "&amp;LSP_M6[[#This Row],[cluster]]</f>
        <v>Chile 3</v>
      </c>
      <c r="B39" s="2" t="s">
        <v>18</v>
      </c>
      <c r="C39">
        <v>3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5">
      <c r="A40" t="str">
        <f>LSP_M6[[#This Row],[country]]&amp;" "&amp;LSP_M6[[#This Row],[cluster]]</f>
        <v>Argentina 1</v>
      </c>
      <c r="B40" s="2" t="s">
        <v>19</v>
      </c>
      <c r="C40">
        <v>1</v>
      </c>
      <c r="D40">
        <v>9.6379999999999999</v>
      </c>
      <c r="E40">
        <v>10.812160432086417</v>
      </c>
      <c r="F40">
        <v>0.22242233206497114</v>
      </c>
      <c r="G40">
        <v>23</v>
      </c>
      <c r="H40">
        <v>38035</v>
      </c>
      <c r="I40">
        <v>38035</v>
      </c>
    </row>
    <row r="41" spans="1:9" x14ac:dyDescent="0.35">
      <c r="A41" t="str">
        <f>LSP_M6[[#This Row],[country]]&amp;" "&amp;LSP_M6[[#This Row],[cluster]]</f>
        <v>Argentina 2</v>
      </c>
      <c r="B41" s="2" t="s">
        <v>19</v>
      </c>
      <c r="C41">
        <v>2</v>
      </c>
      <c r="D41">
        <v>3.6539999999999999</v>
      </c>
      <c r="E41">
        <v>14.412880576115223</v>
      </c>
      <c r="F41">
        <v>0.26042986705539467</v>
      </c>
      <c r="G41">
        <v>26</v>
      </c>
      <c r="H41">
        <v>19224</v>
      </c>
      <c r="I41">
        <v>19224</v>
      </c>
    </row>
    <row r="42" spans="1:9" x14ac:dyDescent="0.35">
      <c r="A42" t="str">
        <f>LSP_M6[[#This Row],[country]]&amp;" "&amp;LSP_M6[[#This Row],[cluster]]</f>
        <v>Argentina 3</v>
      </c>
      <c r="B42" s="2" t="s">
        <v>19</v>
      </c>
      <c r="C42">
        <v>3</v>
      </c>
      <c r="D42">
        <v>10.242000000000001</v>
      </c>
      <c r="E42">
        <v>10.812160432086417</v>
      </c>
      <c r="F42">
        <v>0.16995748485117484</v>
      </c>
      <c r="G42">
        <v>25</v>
      </c>
      <c r="H42">
        <v>40418</v>
      </c>
      <c r="I42">
        <v>40418</v>
      </c>
    </row>
    <row r="43" spans="1:9" x14ac:dyDescent="0.35">
      <c r="A43" t="str">
        <f>LSP_M6[[#This Row],[country]]&amp;" "&amp;LSP_M6[[#This Row],[cluster]]</f>
        <v>Peru 1</v>
      </c>
      <c r="B43" s="2" t="s">
        <v>20</v>
      </c>
      <c r="C43">
        <v>1</v>
      </c>
      <c r="D43">
        <v>1.694</v>
      </c>
      <c r="E43">
        <v>70.424082816563313</v>
      </c>
      <c r="F43">
        <v>9.9150348964386861E-2</v>
      </c>
      <c r="G43">
        <v>93</v>
      </c>
      <c r="H43">
        <v>43556</v>
      </c>
      <c r="I43">
        <v>43556</v>
      </c>
    </row>
    <row r="44" spans="1:9" x14ac:dyDescent="0.35">
      <c r="A44" t="str">
        <f>LSP_M6[[#This Row],[country]]&amp;" "&amp;LSP_M6[[#This Row],[cluster]]</f>
        <v>Colombia 1</v>
      </c>
      <c r="B44" s="2" t="s">
        <v>21</v>
      </c>
      <c r="C44">
        <v>1</v>
      </c>
      <c r="D44">
        <v>3.1059999999999999</v>
      </c>
      <c r="E44">
        <v>36.017201440288055</v>
      </c>
      <c r="F44">
        <v>0.123360134401517</v>
      </c>
      <c r="G44">
        <v>41</v>
      </c>
      <c r="H44">
        <v>40834</v>
      </c>
      <c r="I44">
        <v>40834</v>
      </c>
    </row>
    <row r="45" spans="1:9" x14ac:dyDescent="0.35">
      <c r="A45" t="str">
        <f>LSP_M6[[#This Row],[country]]&amp;" "&amp;LSP_M6[[#This Row],[cluster]]</f>
        <v>Colombia 2</v>
      </c>
      <c r="B45" s="2" t="s">
        <v>21</v>
      </c>
      <c r="C45">
        <v>2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5">
      <c r="A46" t="str">
        <f>LSP_M6[[#This Row],[country]]&amp;" "&amp;LSP_M6[[#This Row],[cluster]]</f>
        <v>Indonesia 1</v>
      </c>
      <c r="B46" s="2" t="s">
        <v>22</v>
      </c>
      <c r="C46">
        <v>1</v>
      </c>
      <c r="D46">
        <v>0.90200000000000002</v>
      </c>
      <c r="E46">
        <v>140.03800560112023</v>
      </c>
      <c r="F46">
        <v>6.8190348662782396E-2</v>
      </c>
      <c r="G46">
        <v>144</v>
      </c>
      <c r="H46">
        <v>46107</v>
      </c>
      <c r="I46">
        <v>46107</v>
      </c>
    </row>
    <row r="47" spans="1:9" x14ac:dyDescent="0.35">
      <c r="A47" t="str">
        <f>LSP_M6[[#This Row],[country]]&amp;" "&amp;LSP_M6[[#This Row],[cluster]]</f>
        <v>Indonesia 2</v>
      </c>
      <c r="B47" s="2" t="s">
        <v>22</v>
      </c>
      <c r="C47">
        <v>2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5">
      <c r="A48" t="str">
        <f>LSP_M6[[#This Row],[country]]&amp;" "&amp;LSP_M6[[#This Row],[cluster]]</f>
        <v>Indonesia 3</v>
      </c>
      <c r="B48" s="2" t="s">
        <v>22</v>
      </c>
      <c r="C48">
        <v>3</v>
      </c>
      <c r="D48">
        <v>14.221</v>
      </c>
      <c r="E48">
        <v>4.010800160032006</v>
      </c>
      <c r="F48">
        <v>0.51057629870421894</v>
      </c>
      <c r="G48">
        <v>10</v>
      </c>
      <c r="H48">
        <v>20818</v>
      </c>
      <c r="I48">
        <v>20818</v>
      </c>
    </row>
    <row r="49" spans="1:9" x14ac:dyDescent="0.35">
      <c r="A49" t="str">
        <f>LSP_M6[[#This Row],[country]]&amp;" "&amp;LSP_M6[[#This Row],[cluster]]</f>
        <v>Timor Leste 1</v>
      </c>
      <c r="B49" s="2" t="s">
        <v>23</v>
      </c>
      <c r="C49">
        <v>1</v>
      </c>
      <c r="D49">
        <v>1.976</v>
      </c>
      <c r="E49">
        <v>60.822162432486493</v>
      </c>
      <c r="F49">
        <v>0.11662811343270679</v>
      </c>
      <c r="G49">
        <v>65</v>
      </c>
      <c r="H49">
        <v>43857</v>
      </c>
      <c r="I49">
        <v>43857</v>
      </c>
    </row>
    <row r="50" spans="1:9" x14ac:dyDescent="0.35">
      <c r="A50" t="str">
        <f>LSP_M6[[#This Row],[country]]&amp;" "&amp;LSP_M6[[#This Row],[cluster]]</f>
        <v>Australia 1</v>
      </c>
      <c r="B50" s="2" t="s">
        <v>24</v>
      </c>
      <c r="C50">
        <v>1</v>
      </c>
      <c r="D50">
        <v>3.4340000000000002</v>
      </c>
      <c r="E50">
        <v>29.215841168233649</v>
      </c>
      <c r="F50">
        <v>0.1352571581247741</v>
      </c>
      <c r="G50">
        <v>44</v>
      </c>
      <c r="H50">
        <v>36615</v>
      </c>
      <c r="I50">
        <v>36615</v>
      </c>
    </row>
    <row r="51" spans="1:9" x14ac:dyDescent="0.35">
      <c r="A51" t="str">
        <f>LSP_M6[[#This Row],[country]]&amp;" "&amp;LSP_M6[[#This Row],[cluster]]</f>
        <v>Australia 2</v>
      </c>
      <c r="B51" s="2" t="s">
        <v>24</v>
      </c>
      <c r="C51">
        <v>2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5">
      <c r="A52" t="str">
        <f>LSP_M6[[#This Row],[country]]&amp;" "&amp;LSP_M6[[#This Row],[cluster]]</f>
        <v>Australia 3</v>
      </c>
      <c r="B52" s="2" t="s">
        <v>24</v>
      </c>
      <c r="C52">
        <v>3</v>
      </c>
      <c r="D52">
        <v>4.5129999999999999</v>
      </c>
      <c r="E52">
        <v>19.613920784156832</v>
      </c>
      <c r="F52">
        <v>0.22052541869093936</v>
      </c>
      <c r="G52">
        <v>21</v>
      </c>
      <c r="H52">
        <v>32310</v>
      </c>
      <c r="I52">
        <v>32310</v>
      </c>
    </row>
    <row r="53" spans="1:9" x14ac:dyDescent="0.35">
      <c r="A53" t="str">
        <f>LSP_M6[[#This Row],[country]]&amp;" "&amp;LSP_M6[[#This Row],[cluster]]</f>
        <v>New Zealand 1</v>
      </c>
      <c r="B53" s="2" t="s">
        <v>25</v>
      </c>
      <c r="C53">
        <v>1</v>
      </c>
      <c r="D53">
        <v>1.3380000000000001</v>
      </c>
      <c r="E53">
        <v>86.427283456691342</v>
      </c>
      <c r="F53">
        <v>9.2231350458470487E-2</v>
      </c>
      <c r="G53">
        <v>118</v>
      </c>
      <c r="H53">
        <v>42224</v>
      </c>
      <c r="I53">
        <v>42224</v>
      </c>
    </row>
    <row r="54" spans="1:9" x14ac:dyDescent="0.35">
      <c r="A54" t="str">
        <f>LSP_M6[[#This Row],[country]]&amp;" "&amp;LSP_M6[[#This Row],[cluster]]</f>
        <v>New Zealand 2</v>
      </c>
      <c r="B54" s="2" t="s">
        <v>25</v>
      </c>
      <c r="C54">
        <v>2</v>
      </c>
      <c r="D54">
        <v>6.2549999999999999</v>
      </c>
      <c r="E54">
        <v>17.213440688137631</v>
      </c>
      <c r="F54">
        <v>0.14668340339114624</v>
      </c>
      <c r="G54">
        <v>38</v>
      </c>
      <c r="H54">
        <v>39301</v>
      </c>
      <c r="I54">
        <v>39301</v>
      </c>
    </row>
    <row r="55" spans="1:9" x14ac:dyDescent="0.35">
      <c r="A55" t="str">
        <f>LSP_M6[[#This Row],[country]]&amp;" "&amp;LSP_M6[[#This Row],[cluster]]</f>
        <v>Algeria 1</v>
      </c>
      <c r="B55" s="2" t="s">
        <v>26</v>
      </c>
      <c r="C55">
        <v>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5">
      <c r="A56" t="str">
        <f>LSP_M6[[#This Row],[country]]&amp;" "&amp;LSP_M6[[#This Row],[cluster]]</f>
        <v>Algeria 2</v>
      </c>
      <c r="B56" s="2" t="s">
        <v>26</v>
      </c>
      <c r="C56">
        <v>2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5">
      <c r="A57" t="str">
        <f>LSP_M6[[#This Row],[country]]&amp;" "&amp;LSP_M6[[#This Row],[cluster]]</f>
        <v>Somalia 1</v>
      </c>
      <c r="B57" s="2" t="s">
        <v>27</v>
      </c>
      <c r="C57">
        <v>1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5">
      <c r="A58" t="str">
        <f>LSP_M6[[#This Row],[country]]&amp;" "&amp;LSP_M6[[#This Row],[cluster]]</f>
        <v>Somalia 2</v>
      </c>
      <c r="B58" s="2" t="s">
        <v>27</v>
      </c>
      <c r="C58">
        <v>2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5">
      <c r="A59" t="str">
        <f>LSP_M6[[#This Row],[country]]&amp;" "&amp;LSP_M6[[#This Row],[cluster]]</f>
        <v>South Africa 1</v>
      </c>
      <c r="B59" s="2" t="s">
        <v>28</v>
      </c>
      <c r="C59">
        <v>1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5">
      <c r="A60" t="str">
        <f>LSP_M6[[#This Row],[country]]&amp;" "&amp;LSP_M6[[#This Row],[cluster]]</f>
        <v>South Africa 2</v>
      </c>
      <c r="B60" s="2" t="s">
        <v>28</v>
      </c>
      <c r="C60">
        <v>2</v>
      </c>
      <c r="E60">
        <v>0</v>
      </c>
      <c r="F60">
        <v>0</v>
      </c>
      <c r="G60">
        <v>1</v>
      </c>
      <c r="H60">
        <v>0</v>
      </c>
      <c r="I60">
        <v>0</v>
      </c>
    </row>
    <row r="61" spans="1:9" x14ac:dyDescent="0.35">
      <c r="A61" t="str">
        <f>LSP_M6[[#This Row],[country]]&amp;" "&amp;LSP_M6[[#This Row],[cluster]]</f>
        <v>South Africa 3</v>
      </c>
      <c r="B61" s="2" t="s">
        <v>28</v>
      </c>
      <c r="C61">
        <v>3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5">
      <c r="A62" t="str">
        <f>LSP_M6[[#This Row],[country]]&amp;" "&amp;LSP_M6[[#This Row],[cluster]]</f>
        <v>Saint Helena 1</v>
      </c>
      <c r="B62" s="2" t="s">
        <v>29</v>
      </c>
      <c r="C62">
        <v>1</v>
      </c>
      <c r="E62">
        <v>0</v>
      </c>
      <c r="F62">
        <v>0</v>
      </c>
      <c r="G62">
        <v>0</v>
      </c>
      <c r="H62">
        <v>0</v>
      </c>
      <c r="I6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DE5D-2E51-4D09-9713-1B14DD147332}">
  <dimension ref="A1:I47"/>
  <sheetViews>
    <sheetView workbookViewId="0">
      <selection activeCell="A2" sqref="A2"/>
    </sheetView>
  </sheetViews>
  <sheetFormatPr defaultRowHeight="14.5" x14ac:dyDescent="0.35"/>
  <cols>
    <col min="2" max="2" width="16.6328125" bestFit="1" customWidth="1"/>
    <col min="4" max="4" width="16.08984375" bestFit="1" customWidth="1"/>
    <col min="5" max="5" width="16.1796875" bestFit="1" customWidth="1"/>
    <col min="6" max="6" width="13.08984375" bestFit="1" customWidth="1"/>
    <col min="7" max="7" width="14.1796875" bestFit="1" customWidth="1"/>
    <col min="8" max="8" width="18.90625" bestFit="1" customWidth="1"/>
    <col min="9" max="9" width="16.81640625" bestFit="1" customWidth="1"/>
  </cols>
  <sheetData>
    <row r="1" spans="1:9" x14ac:dyDescent="0.35">
      <c r="B1" t="s">
        <v>0</v>
      </c>
      <c r="C1" t="s">
        <v>30</v>
      </c>
      <c r="D1" t="s">
        <v>37</v>
      </c>
      <c r="E1" t="s">
        <v>38</v>
      </c>
      <c r="F1" t="s">
        <v>39</v>
      </c>
      <c r="G1" t="s">
        <v>40</v>
      </c>
      <c r="H1" t="s">
        <v>36</v>
      </c>
      <c r="I1" t="s">
        <v>41</v>
      </c>
    </row>
    <row r="2" spans="1:9" x14ac:dyDescent="0.35">
      <c r="A2" t="str">
        <f>LSP_M7[[#This Row],[country]]&amp;" "&amp;LSP_M7[[#This Row],[cluster]]</f>
        <v>Japan 1</v>
      </c>
      <c r="B2" s="2" t="s">
        <v>2</v>
      </c>
      <c r="C2">
        <v>1</v>
      </c>
      <c r="D2">
        <v>3.528</v>
      </c>
      <c r="E2">
        <v>35.617121424284854</v>
      </c>
      <c r="F2">
        <v>0.14634547443446544</v>
      </c>
      <c r="G2">
        <v>71</v>
      </c>
      <c r="H2">
        <v>45867</v>
      </c>
      <c r="I2">
        <v>45867</v>
      </c>
    </row>
    <row r="3" spans="1:9" x14ac:dyDescent="0.35">
      <c r="A3" t="str">
        <f>LSP_M7[[#This Row],[country]]&amp;" "&amp;LSP_M7[[#This Row],[cluster]]</f>
        <v>Japan 2</v>
      </c>
      <c r="B3" s="2" t="s">
        <v>2</v>
      </c>
      <c r="C3">
        <v>2</v>
      </c>
      <c r="D3">
        <v>11.833</v>
      </c>
      <c r="E3">
        <v>10.412080416083217</v>
      </c>
      <c r="F3">
        <v>0.16293624087663466</v>
      </c>
      <c r="G3">
        <v>23</v>
      </c>
      <c r="H3">
        <v>44971</v>
      </c>
      <c r="I3">
        <v>44971</v>
      </c>
    </row>
    <row r="4" spans="1:9" x14ac:dyDescent="0.35">
      <c r="A4" t="str">
        <f>LSP_M7[[#This Row],[country]]&amp;" "&amp;LSP_M7[[#This Row],[cluster]]</f>
        <v>Papua New Guinea 1</v>
      </c>
      <c r="B4" s="2" t="s">
        <v>3</v>
      </c>
      <c r="C4">
        <v>1</v>
      </c>
      <c r="D4">
        <v>2.0139999999999998</v>
      </c>
      <c r="E4">
        <v>61.222242448489695</v>
      </c>
      <c r="F4">
        <v>8.2937880475729253E-2</v>
      </c>
      <c r="G4">
        <v>69</v>
      </c>
      <c r="H4">
        <v>45006</v>
      </c>
      <c r="I4">
        <v>45006</v>
      </c>
    </row>
    <row r="5" spans="1:9" x14ac:dyDescent="0.35">
      <c r="A5" t="str">
        <f>LSP_M7[[#This Row],[country]]&amp;" "&amp;LSP_M7[[#This Row],[cluster]]</f>
        <v>Philippines 1</v>
      </c>
      <c r="B5" s="2" t="s">
        <v>4</v>
      </c>
      <c r="C5">
        <v>1</v>
      </c>
      <c r="D5">
        <v>2.9649999999999999</v>
      </c>
      <c r="E5">
        <v>42.018401680336069</v>
      </c>
      <c r="F5">
        <v>0.11369050019360097</v>
      </c>
      <c r="G5">
        <v>64</v>
      </c>
      <c r="H5">
        <v>45466</v>
      </c>
      <c r="I5">
        <v>45466</v>
      </c>
    </row>
    <row r="6" spans="1:9" x14ac:dyDescent="0.35">
      <c r="A6" t="str">
        <f>LSP_M7[[#This Row],[country]]&amp;" "&amp;LSP_M7[[#This Row],[cluster]]</f>
        <v>Tonga 1</v>
      </c>
      <c r="B6" s="2" t="s">
        <v>5</v>
      </c>
      <c r="C6">
        <v>1</v>
      </c>
      <c r="D6">
        <v>3.95</v>
      </c>
      <c r="E6">
        <v>31.216241248249652</v>
      </c>
      <c r="F6">
        <v>0.28164578615556279</v>
      </c>
      <c r="G6">
        <v>34</v>
      </c>
      <c r="H6">
        <v>45005</v>
      </c>
      <c r="I6">
        <v>45005</v>
      </c>
    </row>
    <row r="7" spans="1:9" x14ac:dyDescent="0.35">
      <c r="A7" t="str">
        <f>LSP_M7[[#This Row],[country]]&amp;" "&amp;LSP_M7[[#This Row],[cluster]]</f>
        <v>USA 1</v>
      </c>
      <c r="B7" s="2" t="s">
        <v>6</v>
      </c>
      <c r="C7">
        <v>1</v>
      </c>
      <c r="D7">
        <v>4.7270000000000003</v>
      </c>
      <c r="E7">
        <v>26.415281056211246</v>
      </c>
      <c r="F7">
        <v>0.21255285925195164</v>
      </c>
      <c r="G7">
        <v>48</v>
      </c>
      <c r="H7">
        <v>45571</v>
      </c>
      <c r="I7">
        <v>45571</v>
      </c>
    </row>
    <row r="8" spans="1:9" x14ac:dyDescent="0.35">
      <c r="A8" t="str">
        <f>LSP_M7[[#This Row],[country]]&amp;" "&amp;LSP_M7[[#This Row],[cluster]]</f>
        <v>USA 2</v>
      </c>
      <c r="B8" s="2" t="s">
        <v>6</v>
      </c>
      <c r="C8">
        <v>2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tr">
        <f>LSP_M7[[#This Row],[country]]&amp;" "&amp;LSP_M7[[#This Row],[cluster]]</f>
        <v>USA 3</v>
      </c>
      <c r="B9" s="2" t="s">
        <v>6</v>
      </c>
      <c r="C9">
        <v>3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tr">
        <f>LSP_M7[[#This Row],[country]]&amp;" "&amp;LSP_M7[[#This Row],[cluster]]</f>
        <v>Mexico 1</v>
      </c>
      <c r="B10" s="2" t="s">
        <v>7</v>
      </c>
      <c r="C10">
        <v>1</v>
      </c>
      <c r="D10">
        <v>3.8820000000000001</v>
      </c>
      <c r="E10">
        <v>31.616321264252853</v>
      </c>
      <c r="F10">
        <v>0.1551778556978381</v>
      </c>
      <c r="G10">
        <v>43</v>
      </c>
      <c r="H10">
        <v>44802</v>
      </c>
      <c r="I10">
        <v>44802</v>
      </c>
    </row>
    <row r="11" spans="1:9" x14ac:dyDescent="0.35">
      <c r="A11" t="str">
        <f>LSP_M7[[#This Row],[country]]&amp;" "&amp;LSP_M7[[#This Row],[cluster]]</f>
        <v>Mexico 2</v>
      </c>
      <c r="B11" s="2" t="s">
        <v>7</v>
      </c>
      <c r="C11">
        <v>2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tr">
        <f>LSP_M7[[#This Row],[country]]&amp;" "&amp;LSP_M7[[#This Row],[cluster]]</f>
        <v>Canada 1</v>
      </c>
      <c r="B12" s="2" t="s">
        <v>8</v>
      </c>
      <c r="C12">
        <v>1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tr">
        <f>LSP_M7[[#This Row],[country]]&amp;" "&amp;LSP_M7[[#This Row],[cluster]]</f>
        <v>Guatemala 1</v>
      </c>
      <c r="B13" s="2" t="s">
        <v>9</v>
      </c>
      <c r="C13">
        <v>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tr">
        <f>LSP_M7[[#This Row],[country]]&amp;" "&amp;LSP_M7[[#This Row],[cluster]]</f>
        <v>Russia 1</v>
      </c>
      <c r="B14" s="2" t="s">
        <v>10</v>
      </c>
      <c r="C14">
        <v>1</v>
      </c>
      <c r="D14">
        <v>2.448</v>
      </c>
      <c r="E14">
        <v>50.820162032406479</v>
      </c>
      <c r="F14">
        <v>0.15165467695369833</v>
      </c>
      <c r="G14">
        <v>56</v>
      </c>
      <c r="H14">
        <v>45406</v>
      </c>
      <c r="I14">
        <v>45406</v>
      </c>
    </row>
    <row r="15" spans="1:9" x14ac:dyDescent="0.35">
      <c r="A15" t="str">
        <f>LSP_M7[[#This Row],[country]]&amp;" "&amp;LSP_M7[[#This Row],[cluster]]</f>
        <v>Russia 2</v>
      </c>
      <c r="B15" s="2" t="s">
        <v>10</v>
      </c>
      <c r="C15">
        <v>2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tr">
        <f>LSP_M7[[#This Row],[country]]&amp;" "&amp;LSP_M7[[#This Row],[cluster]]</f>
        <v>Russia 3</v>
      </c>
      <c r="B16" s="2" t="s">
        <v>10</v>
      </c>
      <c r="C16">
        <v>3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tr">
        <f>LSP_M7[[#This Row],[country]]&amp;" "&amp;LSP_M7[[#This Row],[cluster]]</f>
        <v>China 1</v>
      </c>
      <c r="B17" s="2" t="s">
        <v>11</v>
      </c>
      <c r="C17">
        <v>1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tr">
        <f>LSP_M7[[#This Row],[country]]&amp;" "&amp;LSP_M7[[#This Row],[cluster]]</f>
        <v>China 2</v>
      </c>
      <c r="B18" s="2" t="s">
        <v>11</v>
      </c>
      <c r="C18">
        <v>2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tr">
        <f>LSP_M7[[#This Row],[country]]&amp;" "&amp;LSP_M7[[#This Row],[cluster]]</f>
        <v>India 1</v>
      </c>
      <c r="B19" s="2" t="s">
        <v>12</v>
      </c>
      <c r="C19">
        <v>1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tr">
        <f>LSP_M7[[#This Row],[country]]&amp;" "&amp;LSP_M7[[#This Row],[cluster]]</f>
        <v>India 2</v>
      </c>
      <c r="B20" s="2" t="s">
        <v>12</v>
      </c>
      <c r="C20">
        <v>2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tr">
        <f>LSP_M7[[#This Row],[country]]&amp;" "&amp;LSP_M7[[#This Row],[cluster]]</f>
        <v>Iran 1</v>
      </c>
      <c r="B21" s="2" t="s">
        <v>13</v>
      </c>
      <c r="C21">
        <v>1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tr">
        <f>LSP_M7[[#This Row],[country]]&amp;" "&amp;LSP_M7[[#This Row],[cluster]]</f>
        <v>Iran 2</v>
      </c>
      <c r="B22" s="2" t="s">
        <v>13</v>
      </c>
      <c r="C22">
        <v>2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tr">
        <f>LSP_M7[[#This Row],[country]]&amp;" "&amp;LSP_M7[[#This Row],[cluster]]</f>
        <v>Iran 3</v>
      </c>
      <c r="B23" s="2" t="s">
        <v>13</v>
      </c>
      <c r="C23">
        <v>3</v>
      </c>
      <c r="E23">
        <v>0</v>
      </c>
      <c r="F23">
        <v>0</v>
      </c>
      <c r="G23">
        <v>1</v>
      </c>
      <c r="H23">
        <v>0</v>
      </c>
      <c r="I23">
        <v>0</v>
      </c>
    </row>
    <row r="24" spans="1:9" x14ac:dyDescent="0.35">
      <c r="A24" t="str">
        <f>LSP_M7[[#This Row],[country]]&amp;" "&amp;LSP_M7[[#This Row],[cluster]]</f>
        <v>Nicaragua 1</v>
      </c>
      <c r="B24" s="2" t="s">
        <v>14</v>
      </c>
      <c r="C24">
        <v>1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tr">
        <f>LSP_M7[[#This Row],[country]]&amp;" "&amp;LSP_M7[[#This Row],[cluster]]</f>
        <v>El Salvador 1</v>
      </c>
      <c r="B25" s="2" t="s">
        <v>15</v>
      </c>
      <c r="C25">
        <v>1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5">
      <c r="A26" t="str">
        <f>LSP_M7[[#This Row],[country]]&amp;" "&amp;LSP_M7[[#This Row],[cluster]]</f>
        <v>Costa Rica 1</v>
      </c>
      <c r="B26" s="2" t="s">
        <v>16</v>
      </c>
      <c r="C26">
        <v>1</v>
      </c>
      <c r="D26">
        <v>11.682</v>
      </c>
      <c r="E26">
        <v>9.6119203840768161</v>
      </c>
      <c r="F26">
        <v>0.39001992607088498</v>
      </c>
      <c r="G26">
        <v>11</v>
      </c>
      <c r="H26">
        <v>40984</v>
      </c>
      <c r="I26">
        <v>40984</v>
      </c>
    </row>
    <row r="27" spans="1:9" x14ac:dyDescent="0.35">
      <c r="A27" t="str">
        <f>LSP_M7[[#This Row],[country]]&amp;" "&amp;LSP_M7[[#This Row],[cluster]]</f>
        <v>Dominican 1</v>
      </c>
      <c r="B27" s="2" t="s">
        <v>17</v>
      </c>
      <c r="C27">
        <v>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tr">
        <f>LSP_M7[[#This Row],[country]]&amp;" "&amp;LSP_M7[[#This Row],[cluster]]</f>
        <v>Chile 1</v>
      </c>
      <c r="B28" s="2" t="s">
        <v>18</v>
      </c>
      <c r="C28">
        <v>1</v>
      </c>
      <c r="D28">
        <v>3.5819999999999999</v>
      </c>
      <c r="E28">
        <v>33.616721344268853</v>
      </c>
      <c r="F28">
        <v>0.11568177533646787</v>
      </c>
      <c r="G28">
        <v>44</v>
      </c>
      <c r="H28">
        <v>43952</v>
      </c>
      <c r="I28">
        <v>43952</v>
      </c>
    </row>
    <row r="29" spans="1:9" x14ac:dyDescent="0.35">
      <c r="A29" t="str">
        <f>LSP_M7[[#This Row],[country]]&amp;" "&amp;LSP_M7[[#This Row],[cluster]]</f>
        <v>Argentina 1</v>
      </c>
      <c r="B29" s="2" t="s">
        <v>19</v>
      </c>
      <c r="C29">
        <v>1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5">
      <c r="A30" t="str">
        <f>LSP_M7[[#This Row],[country]]&amp;" "&amp;LSP_M7[[#This Row],[cluster]]</f>
        <v>Argentina 2</v>
      </c>
      <c r="B30" s="2" t="s">
        <v>19</v>
      </c>
      <c r="C30">
        <v>2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5">
      <c r="A31" t="str">
        <f>LSP_M7[[#This Row],[country]]&amp;" "&amp;LSP_M7[[#This Row],[cluster]]</f>
        <v>Argentina 3</v>
      </c>
      <c r="B31" s="2" t="s">
        <v>19</v>
      </c>
      <c r="C31">
        <v>3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5">
      <c r="A32" t="str">
        <f>LSP_M7[[#This Row],[country]]&amp;" "&amp;LSP_M7[[#This Row],[cluster]]</f>
        <v>Peru 1</v>
      </c>
      <c r="B32" s="2" t="s">
        <v>20</v>
      </c>
      <c r="C32">
        <v>1</v>
      </c>
      <c r="D32">
        <v>3.68</v>
      </c>
      <c r="E32">
        <v>32.016401280256055</v>
      </c>
      <c r="F32">
        <v>0.14306836207261905</v>
      </c>
      <c r="G32">
        <v>33</v>
      </c>
      <c r="H32">
        <v>43008</v>
      </c>
      <c r="I32">
        <v>43008</v>
      </c>
    </row>
    <row r="33" spans="1:9" x14ac:dyDescent="0.35">
      <c r="A33" t="str">
        <f>LSP_M7[[#This Row],[country]]&amp;" "&amp;LSP_M7[[#This Row],[cluster]]</f>
        <v>Colombia 1</v>
      </c>
      <c r="B33" s="2" t="s">
        <v>21</v>
      </c>
      <c r="C33">
        <v>1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5">
      <c r="A34" t="str">
        <f>LSP_M7[[#This Row],[country]]&amp;" "&amp;LSP_M7[[#This Row],[cluster]]</f>
        <v>Colombia 2</v>
      </c>
      <c r="B34" s="2" t="s">
        <v>21</v>
      </c>
      <c r="C34">
        <v>2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5">
      <c r="A35" t="str">
        <f>LSP_M7[[#This Row],[country]]&amp;" "&amp;LSP_M7[[#This Row],[cluster]]</f>
        <v>Indonesia 1</v>
      </c>
      <c r="B35" s="2" t="s">
        <v>22</v>
      </c>
      <c r="C35">
        <v>1</v>
      </c>
      <c r="D35">
        <v>1.4550000000000001</v>
      </c>
      <c r="E35">
        <v>86.827363472694557</v>
      </c>
      <c r="F35">
        <v>0.11278463071272979</v>
      </c>
      <c r="G35">
        <v>89</v>
      </c>
      <c r="H35">
        <v>46107</v>
      </c>
      <c r="I35">
        <v>46107</v>
      </c>
    </row>
    <row r="36" spans="1:9" x14ac:dyDescent="0.35">
      <c r="A36" t="str">
        <f>LSP_M7[[#This Row],[country]]&amp;" "&amp;LSP_M7[[#This Row],[cluster]]</f>
        <v>Timor Leste 1</v>
      </c>
      <c r="B36" s="2" t="s">
        <v>23</v>
      </c>
      <c r="C36">
        <v>1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5">
      <c r="A37" t="str">
        <f>LSP_M7[[#This Row],[country]]&amp;" "&amp;LSP_M7[[#This Row],[cluster]]</f>
        <v>Australia 3</v>
      </c>
      <c r="B37" s="2" t="s">
        <v>24</v>
      </c>
      <c r="C37">
        <v>3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5">
      <c r="A38" t="str">
        <f>LSP_M7[[#This Row],[country]]&amp;" "&amp;LSP_M7[[#This Row],[cluster]]</f>
        <v>New Zealand 1</v>
      </c>
      <c r="B38" s="2" t="s">
        <v>25</v>
      </c>
      <c r="C38">
        <v>1</v>
      </c>
      <c r="D38">
        <v>3.7610000000000001</v>
      </c>
      <c r="E38">
        <v>30.016001200240051</v>
      </c>
      <c r="F38">
        <v>0.20884368581808022</v>
      </c>
      <c r="G38">
        <v>35</v>
      </c>
      <c r="H38">
        <v>41207</v>
      </c>
      <c r="I38">
        <v>41207</v>
      </c>
    </row>
    <row r="39" spans="1:9" x14ac:dyDescent="0.35">
      <c r="A39" t="str">
        <f>LSP_M7[[#This Row],[country]]&amp;" "&amp;LSP_M7[[#This Row],[cluster]]</f>
        <v>New Zealand 2</v>
      </c>
      <c r="B39" s="2" t="s">
        <v>25</v>
      </c>
      <c r="C39">
        <v>2</v>
      </c>
      <c r="D39">
        <v>16.012</v>
      </c>
      <c r="E39">
        <v>4.4108801760352065</v>
      </c>
      <c r="F39">
        <v>0.676536411803071</v>
      </c>
      <c r="G39">
        <v>11</v>
      </c>
      <c r="H39">
        <v>25779</v>
      </c>
      <c r="I39">
        <v>25779</v>
      </c>
    </row>
    <row r="40" spans="1:9" x14ac:dyDescent="0.35">
      <c r="A40" t="str">
        <f>LSP_M7[[#This Row],[country]]&amp;" "&amp;LSP_M7[[#This Row],[cluster]]</f>
        <v>Algeria 1</v>
      </c>
      <c r="B40" s="2" t="s">
        <v>26</v>
      </c>
      <c r="C40">
        <v>1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5">
      <c r="A41" t="str">
        <f>LSP_M7[[#This Row],[country]]&amp;" "&amp;LSP_M7[[#This Row],[cluster]]</f>
        <v>Algeria 2</v>
      </c>
      <c r="B41" s="2" t="s">
        <v>26</v>
      </c>
      <c r="C41">
        <v>2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5">
      <c r="A42" t="str">
        <f>LSP_M7[[#This Row],[country]]&amp;" "&amp;LSP_M7[[#This Row],[cluster]]</f>
        <v>Somalia 1</v>
      </c>
      <c r="B42" s="2" t="s">
        <v>27</v>
      </c>
      <c r="C42">
        <v>1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5">
      <c r="A43" t="str">
        <f>LSP_M7[[#This Row],[country]]&amp;" "&amp;LSP_M7[[#This Row],[cluster]]</f>
        <v>Somalia 2</v>
      </c>
      <c r="B43" s="2" t="s">
        <v>27</v>
      </c>
      <c r="C43">
        <v>2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5">
      <c r="A44" t="str">
        <f>LSP_M7[[#This Row],[country]]&amp;" "&amp;LSP_M7[[#This Row],[cluster]]</f>
        <v>South Africa 1</v>
      </c>
      <c r="B44" s="2" t="s">
        <v>28</v>
      </c>
      <c r="C44">
        <v>1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5">
      <c r="A45" t="str">
        <f>LSP_M7[[#This Row],[country]]&amp;" "&amp;LSP_M7[[#This Row],[cluster]]</f>
        <v>South Africa 2</v>
      </c>
      <c r="B45" s="2" t="s">
        <v>28</v>
      </c>
      <c r="C45">
        <v>2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5">
      <c r="A46" t="str">
        <f>LSP_M7[[#This Row],[country]]&amp;" "&amp;LSP_M7[[#This Row],[cluster]]</f>
        <v>South Africa 3</v>
      </c>
      <c r="B46" s="2" t="s">
        <v>28</v>
      </c>
      <c r="C46">
        <v>3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5">
      <c r="A47" t="str">
        <f>LSP_M7[[#This Row],[country]]&amp;" "&amp;LSP_M7[[#This Row],[cluster]]</f>
        <v>Saint Helena 1</v>
      </c>
      <c r="B47" s="2" t="s">
        <v>29</v>
      </c>
      <c r="C47">
        <v>1</v>
      </c>
      <c r="E47">
        <v>0</v>
      </c>
      <c r="F47">
        <v>0</v>
      </c>
      <c r="G47">
        <v>0</v>
      </c>
      <c r="H47">
        <v>0</v>
      </c>
      <c r="I47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63DC-F582-42C1-8BB5-2C73A2E08949}">
  <dimension ref="A1:I41"/>
  <sheetViews>
    <sheetView workbookViewId="0">
      <selection activeCell="B43" sqref="B43"/>
    </sheetView>
  </sheetViews>
  <sheetFormatPr defaultRowHeight="14.5" x14ac:dyDescent="0.35"/>
  <cols>
    <col min="2" max="2" width="16.6328125" bestFit="1" customWidth="1"/>
    <col min="4" max="4" width="16.08984375" bestFit="1" customWidth="1"/>
    <col min="5" max="5" width="16.1796875" bestFit="1" customWidth="1"/>
    <col min="6" max="6" width="13.08984375" bestFit="1" customWidth="1"/>
    <col min="7" max="7" width="14.1796875" bestFit="1" customWidth="1"/>
    <col min="8" max="8" width="18.90625" bestFit="1" customWidth="1"/>
    <col min="9" max="9" width="16.81640625" bestFit="1" customWidth="1"/>
  </cols>
  <sheetData>
    <row r="1" spans="1:9" x14ac:dyDescent="0.35">
      <c r="B1" t="s">
        <v>0</v>
      </c>
      <c r="C1" t="s">
        <v>30</v>
      </c>
      <c r="D1" t="s">
        <v>37</v>
      </c>
      <c r="E1" t="s">
        <v>38</v>
      </c>
      <c r="F1" t="s">
        <v>39</v>
      </c>
      <c r="G1" t="s">
        <v>40</v>
      </c>
      <c r="H1" t="s">
        <v>36</v>
      </c>
      <c r="I1" t="s">
        <v>41</v>
      </c>
    </row>
    <row r="2" spans="1:9" x14ac:dyDescent="0.35">
      <c r="A2" t="str">
        <f>LSP_M8[[#This Row],[country]]&amp;" "&amp;LSP_M8[[#This Row],[cluster]]</f>
        <v>Japan 1</v>
      </c>
      <c r="B2" s="2" t="s">
        <v>2</v>
      </c>
      <c r="C2">
        <v>1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tr">
        <f>LSP_M8[[#This Row],[country]]&amp;" "&amp;LSP_M8[[#This Row],[cluster]]</f>
        <v>Japan 2</v>
      </c>
      <c r="B3" s="2" t="s">
        <v>2</v>
      </c>
      <c r="C3">
        <v>2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tr">
        <f>LSP_M8[[#This Row],[country]]&amp;" "&amp;LSP_M8[[#This Row],[cluster]]</f>
        <v>Papua New Guinea 1</v>
      </c>
      <c r="B4" s="2" t="s">
        <v>3</v>
      </c>
      <c r="C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tr">
        <f>LSP_M8[[#This Row],[country]]&amp;" "&amp;LSP_M8[[#This Row],[cluster]]</f>
        <v>Philippines 1</v>
      </c>
      <c r="B5" s="2" t="s">
        <v>4</v>
      </c>
      <c r="C5">
        <v>1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tr">
        <f>LSP_M8[[#This Row],[country]]&amp;" "&amp;LSP_M8[[#This Row],[cluster]]</f>
        <v>Tonga 1</v>
      </c>
      <c r="B6" s="2" t="s">
        <v>5</v>
      </c>
      <c r="C6">
        <v>1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tr">
        <f>LSP_M8[[#This Row],[country]]&amp;" "&amp;LSP_M8[[#This Row],[cluster]]</f>
        <v>USA 1</v>
      </c>
      <c r="B7" s="2" t="s">
        <v>6</v>
      </c>
      <c r="C7">
        <v>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tr">
        <f>LSP_M8[[#This Row],[country]]&amp;" "&amp;LSP_M8[[#This Row],[cluster]]</f>
        <v>Mexico 1</v>
      </c>
      <c r="B8" s="2" t="s">
        <v>7</v>
      </c>
      <c r="C8">
        <v>1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tr">
        <f>LSP_M8[[#This Row],[country]]&amp;" "&amp;LSP_M8[[#This Row],[cluster]]</f>
        <v>Canada 1</v>
      </c>
      <c r="B9" s="2" t="s">
        <v>8</v>
      </c>
      <c r="C9">
        <v>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tr">
        <f>LSP_M8[[#This Row],[country]]&amp;" "&amp;LSP_M8[[#This Row],[cluster]]</f>
        <v>Guatemala 1</v>
      </c>
      <c r="B10" s="2" t="s">
        <v>9</v>
      </c>
      <c r="C10">
        <v>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tr">
        <f>LSP_M8[[#This Row],[country]]&amp;" "&amp;LSP_M8[[#This Row],[cluster]]</f>
        <v>Russia 1</v>
      </c>
      <c r="B11" s="2" t="s">
        <v>10</v>
      </c>
      <c r="C11">
        <v>1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tr">
        <f>LSP_M8[[#This Row],[country]]&amp;" "&amp;LSP_M8[[#This Row],[cluster]]</f>
        <v>China 1</v>
      </c>
      <c r="B12" s="2" t="s">
        <v>11</v>
      </c>
      <c r="C12">
        <v>1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tr">
        <f>LSP_M8[[#This Row],[country]]&amp;" "&amp;LSP_M8[[#This Row],[cluster]]</f>
        <v>China 2</v>
      </c>
      <c r="B13" s="2" t="s">
        <v>11</v>
      </c>
      <c r="C13">
        <v>2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tr">
        <f>LSP_M8[[#This Row],[country]]&amp;" "&amp;LSP_M8[[#This Row],[cluster]]</f>
        <v>India 1</v>
      </c>
      <c r="B14" s="2" t="s">
        <v>12</v>
      </c>
      <c r="C14">
        <v>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tr">
        <f>LSP_M8[[#This Row],[country]]&amp;" "&amp;LSP_M8[[#This Row],[cluster]]</f>
        <v>India 2</v>
      </c>
      <c r="B15" s="2" t="s">
        <v>12</v>
      </c>
      <c r="C15">
        <v>2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tr">
        <f>LSP_M8[[#This Row],[country]]&amp;" "&amp;LSP_M8[[#This Row],[cluster]]</f>
        <v>Iran 1</v>
      </c>
      <c r="B16" s="2" t="s">
        <v>13</v>
      </c>
      <c r="C16">
        <v>1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tr">
        <f>LSP_M8[[#This Row],[country]]&amp;" "&amp;LSP_M8[[#This Row],[cluster]]</f>
        <v>Iran 2</v>
      </c>
      <c r="B17" s="2" t="s">
        <v>13</v>
      </c>
      <c r="C17">
        <v>2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tr">
        <f>LSP_M8[[#This Row],[country]]&amp;" "&amp;LSP_M8[[#This Row],[cluster]]</f>
        <v>Iran 3</v>
      </c>
      <c r="B18" s="2" t="s">
        <v>13</v>
      </c>
      <c r="C18">
        <v>3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tr">
        <f>LSP_M8[[#This Row],[country]]&amp;" "&amp;LSP_M8[[#This Row],[cluster]]</f>
        <v>Nicaragua 1</v>
      </c>
      <c r="B19" s="2" t="s">
        <v>14</v>
      </c>
      <c r="C19">
        <v>1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tr">
        <f>LSP_M8[[#This Row],[country]]&amp;" "&amp;LSP_M8[[#This Row],[cluster]]</f>
        <v>El Salvador 1</v>
      </c>
      <c r="B20" s="2" t="s">
        <v>15</v>
      </c>
      <c r="C20">
        <v>1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tr">
        <f>LSP_M8[[#This Row],[country]]&amp;" "&amp;LSP_M8[[#This Row],[cluster]]</f>
        <v>Costa Rica 1</v>
      </c>
      <c r="B21" s="2" t="s">
        <v>16</v>
      </c>
      <c r="C21">
        <v>1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tr">
        <f>LSP_M8[[#This Row],[country]]&amp;" "&amp;LSP_M8[[#This Row],[cluster]]</f>
        <v>Dominican 1</v>
      </c>
      <c r="B22" s="2" t="s">
        <v>17</v>
      </c>
      <c r="C22">
        <v>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tr">
        <f>LSP_M8[[#This Row],[country]]&amp;" "&amp;LSP_M8[[#This Row],[cluster]]</f>
        <v>Chile 1</v>
      </c>
      <c r="B23" s="2" t="s">
        <v>18</v>
      </c>
      <c r="C23">
        <v>1</v>
      </c>
      <c r="D23">
        <v>18.158999999999999</v>
      </c>
      <c r="E23">
        <v>6.0112002400480096</v>
      </c>
      <c r="F23">
        <v>0.4384198207549922</v>
      </c>
      <c r="G23">
        <v>11</v>
      </c>
      <c r="H23">
        <v>39842</v>
      </c>
      <c r="I23">
        <v>39842</v>
      </c>
    </row>
    <row r="24" spans="1:9" x14ac:dyDescent="0.35">
      <c r="A24" t="str">
        <f>LSP_M8[[#This Row],[country]]&amp;" "&amp;LSP_M8[[#This Row],[cluster]]</f>
        <v>Argentina 1</v>
      </c>
      <c r="B24" s="2" t="s">
        <v>19</v>
      </c>
      <c r="C24">
        <v>1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tr">
        <f>LSP_M8[[#This Row],[country]]&amp;" "&amp;LSP_M8[[#This Row],[cluster]]</f>
        <v>Argentina 2</v>
      </c>
      <c r="B25" s="2" t="s">
        <v>19</v>
      </c>
      <c r="C25">
        <v>2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5">
      <c r="A26" t="str">
        <f>LSP_M8[[#This Row],[country]]&amp;" "&amp;LSP_M8[[#This Row],[cluster]]</f>
        <v>Argentina 3</v>
      </c>
      <c r="B26" s="2" t="s">
        <v>19</v>
      </c>
      <c r="C26">
        <v>3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tr">
        <f>LSP_M8[[#This Row],[country]]&amp;" "&amp;LSP_M8[[#This Row],[cluster]]</f>
        <v>Peru 1</v>
      </c>
      <c r="B27" s="2" t="s">
        <v>20</v>
      </c>
      <c r="C27">
        <v>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tr">
        <f>LSP_M8[[#This Row],[country]]&amp;" "&amp;LSP_M8[[#This Row],[cluster]]</f>
        <v>Colombia 1</v>
      </c>
      <c r="B28" s="2" t="s">
        <v>21</v>
      </c>
      <c r="C28">
        <v>1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5">
      <c r="A29" t="str">
        <f>LSP_M8[[#This Row],[country]]&amp;" "&amp;LSP_M8[[#This Row],[cluster]]</f>
        <v>Colombia 2</v>
      </c>
      <c r="B29" s="2" t="s">
        <v>21</v>
      </c>
      <c r="C29">
        <v>2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5">
      <c r="A30" t="str">
        <f>LSP_M8[[#This Row],[country]]&amp;" "&amp;LSP_M8[[#This Row],[cluster]]</f>
        <v>Indonesia 1</v>
      </c>
      <c r="B30" s="2" t="s">
        <v>22</v>
      </c>
      <c r="C30">
        <v>1</v>
      </c>
      <c r="D30">
        <v>11.978</v>
      </c>
      <c r="E30">
        <v>8.4116803360672137</v>
      </c>
      <c r="F30">
        <v>0.42476527100701217</v>
      </c>
      <c r="G30">
        <v>10</v>
      </c>
      <c r="H30">
        <v>36776</v>
      </c>
      <c r="I30">
        <v>36776</v>
      </c>
    </row>
    <row r="31" spans="1:9" x14ac:dyDescent="0.35">
      <c r="A31" t="str">
        <f>LSP_M8[[#This Row],[country]]&amp;" "&amp;LSP_M8[[#This Row],[cluster]]</f>
        <v>Timor Leste 1</v>
      </c>
      <c r="B31" s="2" t="s">
        <v>23</v>
      </c>
      <c r="C31">
        <v>1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5">
      <c r="A32" t="str">
        <f>LSP_M8[[#This Row],[country]]&amp;" "&amp;LSP_M8[[#This Row],[cluster]]</f>
        <v>Australia 3</v>
      </c>
      <c r="B32" s="2" t="s">
        <v>24</v>
      </c>
      <c r="C32">
        <v>3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5">
      <c r="A33" t="str">
        <f>LSP_M8[[#This Row],[country]]&amp;" "&amp;LSP_M8[[#This Row],[cluster]]</f>
        <v>New Zealand 1</v>
      </c>
      <c r="B33" s="2" t="s">
        <v>25</v>
      </c>
      <c r="C33">
        <v>1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5">
      <c r="A34" t="str">
        <f>LSP_M8[[#This Row],[country]]&amp;" "&amp;LSP_M8[[#This Row],[cluster]]</f>
        <v>Algeria 1</v>
      </c>
      <c r="B34" s="2" t="s">
        <v>26</v>
      </c>
      <c r="C34">
        <v>1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5">
      <c r="A35" t="str">
        <f>LSP_M8[[#This Row],[country]]&amp;" "&amp;LSP_M8[[#This Row],[cluster]]</f>
        <v>Algeria 2</v>
      </c>
      <c r="B35" s="2" t="s">
        <v>26</v>
      </c>
      <c r="C35">
        <v>2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5">
      <c r="A36" t="str">
        <f>LSP_M8[[#This Row],[country]]&amp;" "&amp;LSP_M8[[#This Row],[cluster]]</f>
        <v>Somalia 1</v>
      </c>
      <c r="B36" s="2" t="s">
        <v>27</v>
      </c>
      <c r="C36">
        <v>1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5">
      <c r="A37" t="str">
        <f>LSP_M8[[#This Row],[country]]&amp;" "&amp;LSP_M8[[#This Row],[cluster]]</f>
        <v>Somalia 2</v>
      </c>
      <c r="B37" s="2" t="s">
        <v>27</v>
      </c>
      <c r="C37">
        <v>2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5">
      <c r="A38" t="str">
        <f>LSP_M8[[#This Row],[country]]&amp;" "&amp;LSP_M8[[#This Row],[cluster]]</f>
        <v>South Africa 1</v>
      </c>
      <c r="B38" s="2" t="s">
        <v>28</v>
      </c>
      <c r="C38">
        <v>1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5">
      <c r="A39" t="str">
        <f>LSP_M8[[#This Row],[country]]&amp;" "&amp;LSP_M8[[#This Row],[cluster]]</f>
        <v>South Africa 2</v>
      </c>
      <c r="B39" s="2" t="s">
        <v>28</v>
      </c>
      <c r="C39">
        <v>2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5">
      <c r="A40" t="str">
        <f>LSP_M8[[#This Row],[country]]&amp;" "&amp;LSP_M8[[#This Row],[cluster]]</f>
        <v>South Africa 3</v>
      </c>
      <c r="B40" s="2" t="s">
        <v>28</v>
      </c>
      <c r="C40">
        <v>3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5">
      <c r="A41" t="str">
        <f>LSP_M8[[#This Row],[country]]&amp;" "&amp;LSP_M8[[#This Row],[cluster]]</f>
        <v>Saint Helena 1</v>
      </c>
      <c r="B41" s="2" t="s">
        <v>29</v>
      </c>
      <c r="C41">
        <v>1</v>
      </c>
      <c r="E41">
        <v>0</v>
      </c>
      <c r="F41">
        <v>0</v>
      </c>
      <c r="G41">
        <v>0</v>
      </c>
      <c r="H41">
        <v>0</v>
      </c>
      <c r="I4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1D14-8556-44CD-AF8B-4167C7E735B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E7234-D9A8-494C-93D1-C3027FC17C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results_v1</vt:lpstr>
      <vt:lpstr>LSP-M4</vt:lpstr>
      <vt:lpstr>LSP-M5</vt:lpstr>
      <vt:lpstr>LSP-M6</vt:lpstr>
      <vt:lpstr>LSP-M7</vt:lpstr>
      <vt:lpstr>LSP-M8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h</dc:creator>
  <cp:lastModifiedBy>Eddie h</cp:lastModifiedBy>
  <dcterms:created xsi:type="dcterms:W3CDTF">2026-07-21T07:26:08Z</dcterms:created>
  <dcterms:modified xsi:type="dcterms:W3CDTF">2026-08-12T02:50:19Z</dcterms:modified>
</cp:coreProperties>
</file>